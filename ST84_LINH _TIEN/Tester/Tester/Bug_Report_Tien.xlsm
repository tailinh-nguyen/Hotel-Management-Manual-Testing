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3.1 Revenue Report" sheetId="1" r:id="rId4"/>
    <sheet state="visible" name="3.2 Room Report" sheetId="2" r:id="rId5"/>
    <sheet state="visible" name="3.3 User Management" sheetId="3" r:id="rId6"/>
    <sheet state="visible" name="3.4 Room Type" sheetId="4" r:id="rId7"/>
    <sheet state="visible" name="3.5 Room" sheetId="5" r:id="rId8"/>
    <sheet state="visible" name="3.6 Service" sheetId="6" r:id="rId9"/>
    <sheet state="visible" name="3.7 Promotion" sheetId="7" r:id="rId10"/>
    <sheet state="visible" name="3.8 Authentication" sheetId="8" r:id="rId11"/>
    <sheet state="visible" name="3.9 Staff &amp; Roles" sheetId="9" r:id="rId12"/>
    <sheet state="visible" name="3.10 Credit Card" sheetId="10" r:id="rId13"/>
  </sheets>
  <definedNames/>
  <calcPr/>
  <extLst>
    <ext uri="GoogleSheetsCustomDataVersion2">
      <go:sheetsCustomData xmlns:go="http://customooxmlschemas.google.com/" r:id="rId14" roundtripDataChecksum="WCKZ1/PxEU9wVpDzZ9qjbd4ag1k3DzMsk7z+3UzHwu8="/>
    </ext>
  </extLst>
</workbook>
</file>

<file path=xl/sharedStrings.xml><?xml version="1.0" encoding="utf-8"?>
<sst xmlns="http://schemas.openxmlformats.org/spreadsheetml/2006/main" count="485" uniqueCount="154">
  <si>
    <t>Module: 3.3 User Management</t>
  </si>
  <si>
    <t>Module: 3.1 Revenue Report</t>
  </si>
  <si>
    <t>Module: 3.2 Room Report</t>
  </si>
  <si>
    <t>Module: 3.4 Room Type</t>
  </si>
  <si>
    <t>No. of Bug</t>
  </si>
  <si>
    <t>Bug ID</t>
  </si>
  <si>
    <t>TestCase_ID</t>
  </si>
  <si>
    <t>Summary</t>
  </si>
  <si>
    <t>Description</t>
  </si>
  <si>
    <t>Step to Reproduce</t>
  </si>
  <si>
    <t>Severity</t>
  </si>
  <si>
    <t>Frequency</t>
  </si>
  <si>
    <t>Priority</t>
  </si>
  <si>
    <t>Resolution</t>
  </si>
  <si>
    <t>Attachment</t>
  </si>
  <si>
    <t>Invalid email format is accepted when creating a user</t>
  </si>
  <si>
    <t>Submitting an empty Add Room Type form returns HTTP 500</t>
  </si>
  <si>
    <t>Cancel does not clear Revenue Report query values</t>
  </si>
  <si>
    <t>The system accepts an invalid email address such as demo1@gmail and creates the user instead of displaying an email-format validation message.</t>
  </si>
  <si>
    <t>Leaving all required fields empty and clicking Submit causes the system to crash and display a Whitelabel Error Page with Internal Server Error (HTTP 500) instead of showing validation messages.</t>
  </si>
  <si>
    <t>After entering Start Date and End Date and clicking Cancel, the entered query values remain on the form instead of being cleared.</t>
  </si>
  <si>
    <t>1. Open the page described in TC003.
2. Execute the testcase using the specified test data.
3. Observe the actual behavior.</t>
  </si>
  <si>
    <t>1. Open the page described in TC002.
2. Execute the testcase using the specified test data.
3. Observe the actual behavior.</t>
  </si>
  <si>
    <t>1. Open the page described in TC006.
2. Execute the testcase using the specified test data.
3. Observe the actual behavior.</t>
  </si>
  <si>
    <t>Medium</t>
  </si>
  <si>
    <t>Critical</t>
  </si>
  <si>
    <t>Always</t>
  </si>
  <si>
    <t>Minor</t>
  </si>
  <si>
    <t>Open</t>
  </si>
  <si>
    <t>High</t>
  </si>
  <si>
    <t>Cancel does not clear Add User form data</t>
  </si>
  <si>
    <t>Duplicate Room Type title is accepted</t>
  </si>
  <si>
    <t>After entering user information and clicking Cancel, the entered data is not cleared and the Add User form is not reset.</t>
  </si>
  <si>
    <t>The system allows a Room Type to be created with a title that already exists instead of displaying a duplicate-title validation message.</t>
  </si>
  <si>
    <t>1. Open the page described in TC007.
2. Execute the testcase using the specified test data.
3. Observe the actual behavior.</t>
  </si>
  <si>
    <t>1. Open the page described in TC004.
2. Execute the testcase using the specified test data.
3. Observe the actual behavior.</t>
  </si>
  <si>
    <t>Revenue Report Print action has no response</t>
  </si>
  <si>
    <t>Selecting Print from the Tools menu produces no response and does not open the browser print dialog or print preview.</t>
  </si>
  <si>
    <t>1. Open the page described in TC011.
2. Execute the testcase using the specified test data.
3. Observe the actual behavior.</t>
  </si>
  <si>
    <t>Room Type price 0 or negative is accepted</t>
  </si>
  <si>
    <t>The system accepts Price = 0 and a negative Price value and creates the Room Type instead of rejecting the invalid input.</t>
  </si>
  <si>
    <t>1. Open the page described in TC005.
2. Execute the testcase using the specified test data.
3. Observe the actual behavior.</t>
  </si>
  <si>
    <t>User Details accepts an unsupported photo file</t>
  </si>
  <si>
    <t>The Add User form rejects unsupported files, but User Details &gt; Change Photo accepts a .txt file. After upload, the profile image area appears blank instead of showing a validation message and keeping the existing photo.</t>
  </si>
  <si>
    <t>1. Open the page described in TC034.
2. Execute the testcase using the specified test data.
3. Observe the actual behavior.</t>
  </si>
  <si>
    <t>Cancel does not clear Add Room Type form data</t>
  </si>
  <si>
    <t>After entering Room Type information and clicking Cancel, the entered data is not cleared and the form is not reset.</t>
  </si>
  <si>
    <t>1. Open the page described in TC008.
2. Execute the testcase using the specified test data.
3. Observe the actual behavior.</t>
  </si>
  <si>
    <t>All Users export and print actions do not work</t>
  </si>
  <si>
    <t>The Print, Save as PDF, and Export to Excel options under the Tools menu do not respond when selected.</t>
  </si>
  <si>
    <t>1. Open the page described in TC035.
2. Execute the testcase using the specified test data.
3. Observe the actual behavior.</t>
  </si>
  <si>
    <t>Special-character-only Room Type title is accepted</t>
  </si>
  <si>
    <t>The system accepts a Room Type title containing only special characters and saves the record instead of displaying a validation message.</t>
  </si>
  <si>
    <t>1. Open the page described in TC014.
2. Execute the testcase using the specified test data.
3. Observe the actual behavior.</t>
  </si>
  <si>
    <t>Delete User icon does not work</t>
  </si>
  <si>
    <t>Clicking the delete icon for a user produces no response and does not open a confirmation dialog or delete the selected user.</t>
  </si>
  <si>
    <t>1. Open the page described in TC016.
2. Execute the testcase using the specified test data.
3. Observe the actual behavior.</t>
  </si>
  <si>
    <t>Major</t>
  </si>
  <si>
    <t>Submitting Add Room Type without Adult Capacity returns HTTP 500</t>
  </si>
  <si>
    <t>Leaving Adult Capacity unselected and submitting otherwise valid Room Type data causes a Whitelabel Error Page with Internal Server Error (HTTP 500) instead of required-field validation.</t>
  </si>
  <si>
    <t>1. Login as Admin.
2. Open Room Types → Add Room Type.
3. Enter a valid Title and Price.
4. Leave Adult Capacity unselected.
5. Select Children Capacity.
6. Click Submit.</t>
  </si>
  <si>
    <t>Submitting Add Room Type without Children Capacity returns HTTP 500</t>
  </si>
  <si>
    <t>Leaving Children Capacity unselected and submitting otherwise valid Room Type data causes a Whitelabel Error Page with Internal Server Error (HTTP 500) instead of required-field validation.</t>
  </si>
  <si>
    <t>1. Login as Admin.
2. Open Room Types → Add Room Type.
3. Enter a valid Title and Price.
4. Select Adult Capacity.
5. Leave Children Capacity unselected.
6. Click Submit.</t>
  </si>
  <si>
    <t>TC020</t>
  </si>
  <si>
    <t>Deleting a Room Type assigned to an existing Room returns HTTP 500</t>
  </si>
  <si>
    <t>Deleting a Room Type that is currently assigned to an existing Room causes a Whitelabel Error Page with Internal Server Error (HTTP 500) instead of handling the request safely according to the implemented design.</t>
  </si>
  <si>
    <t>1. Login as Admin.
2. Create or select a Room Type.
3. Create an existing Room assigned to that Room Type.
4. Confirm the Room displays the selected Room Type in All Rooms.
5. Open All Room Types.
6. Delete the assigned Room Type and confirm.</t>
  </si>
  <si>
    <t>Module: 3.5 Room</t>
  </si>
  <si>
    <t>Submitting an empty Add Room form returns HTTP 500</t>
  </si>
  <si>
    <t>Invalid Floor input causes Whitelabel HTTP 500</t>
  </si>
  <si>
    <t>When Room Type = Deluxe Twin is selected and an invalid Floor value is submitted, the system crashes and displays a Whitelabel Error Page instead of showing a validation message.</t>
  </si>
  <si>
    <t>1. Open the page described in TC010.
2. Execute the testcase using the specified test data.
3. Observe the actual behavior.</t>
  </si>
  <si>
    <t>Module: 3.6 Service</t>
  </si>
  <si>
    <t>Invalid Room Number length is accepted</t>
  </si>
  <si>
    <t>The system accepts a Room Number with an invalid length (fewer than 3 digits or more than 4 digits) and creates the room instead of displaying a validation message.</t>
  </si>
  <si>
    <t>Non-numeric Room Number is accepted</t>
  </si>
  <si>
    <t>The system accepts a Room Number containing letters, special characters, spaces, decimal points, or a negative sign instead of rejecting the input.</t>
  </si>
  <si>
    <t>Duplicate Room Number is accepted</t>
  </si>
  <si>
    <t>The system allows a room to be created with an existing Room Number instead of displaying a duplicate Room Number validation message.</t>
  </si>
  <si>
    <t>Negative Floor value is accepted</t>
  </si>
  <si>
    <t>The system accepts a negative Floor value and creates the room instead of rejecting the invalid input.</t>
  </si>
  <si>
    <t>Cancel does not clear Add Room form data</t>
  </si>
  <si>
    <t>After entering room information and clicking Cancel, the entered data is not cleared and the Add Room form is not reset.</t>
  </si>
  <si>
    <t>Submitting an empty Add Service form returns HTTP 500</t>
  </si>
  <si>
    <t>1. Open the page described in TC015.
2. Execute the testcase using the specified test data.
3. Observe the actual behavior.</t>
  </si>
  <si>
    <t>Leaving all required fields empty and clicking Submit causes the system to crash and display a Whitelabel Error Page instead of showing validation messages.</t>
  </si>
  <si>
    <t>Module: 3.7 Promotion</t>
  </si>
  <si>
    <t>All Rooms export and print actions do not work</t>
  </si>
  <si>
    <t>1. Open the page described in TC022.
2. Execute the testcase using the specified test data.
3. Observe the actual behavior.</t>
  </si>
  <si>
    <t>Submitting Add Room without selecting Room Type returns HTTP 500</t>
  </si>
  <si>
    <t>Negative Service price is accepted</t>
  </si>
  <si>
    <t>Submitting valid Room Number and Floor values while leaving Room Type unselected causes a Whitelabel Error Page with Internal Server Error (HTTP 500) instead of displaying required-field validation.</t>
  </si>
  <si>
    <t>1. Login as Admin.
2. Open Rooms → Add Room.
3. Enter a valid Room Number.
4. Enter a valid Floor.
5. Leave Room Type unselected.
6. Click Submit.</t>
  </si>
  <si>
    <t>The system accepts a negative Service Price and creates the service instead of rejecting the invalid input.</t>
  </si>
  <si>
    <t>Submitting Add Room with Description longer than 25 characters returns HTTP 500</t>
  </si>
  <si>
    <t>Submitting a Room with a Description longer than the defined 25-character limit causes a Whitelabel Error Page with Internal Server Error (HTTP 500) instead of displaying length validation.</t>
  </si>
  <si>
    <t>1. Login as Admin.
2. Open Rooms → Add Room.
3. Enter valid Room Number, Room Type, and Floor.
4. Enter a Description longer than 25 characters.
5. Click Submit.</t>
  </si>
  <si>
    <t>Empty Service name is accepted</t>
  </si>
  <si>
    <t>The system allows a service to be created with an empty Service Name instead of displaying a required-field validation message.</t>
  </si>
  <si>
    <t>Inactive Room is still displayed as available on the customer website</t>
  </si>
  <si>
    <t>A Room with Status set to Inactive is still counted as available and remains visible to customers when searching for rooms, although the Room should remain only in Admin.</t>
  </si>
  <si>
    <t>1. Login as Admin.
2. Create or edit a Room and set Status = Inactive.
3. Ensure it is the only available Room under the selected Room Type for the test period.
4. Open the customer website.
5. Search for that Room Type and date range.
6. Review availability.</t>
  </si>
  <si>
    <t>Submitting an empty Add Promotion form returns HTTP 500</t>
  </si>
  <si>
    <t>Empty Service unit is accepted</t>
  </si>
  <si>
    <t>The system allows a service to be created with an empty Unit field instead of displaying a required-field validation message.</t>
  </si>
  <si>
    <t>Empty Promotion Code is accepted</t>
  </si>
  <si>
    <t>The system allows a promotion to be created with an empty Promotion Code instead of displaying a required-field validation message.</t>
  </si>
  <si>
    <t>Special-character-only Service name is accepted</t>
  </si>
  <si>
    <t>The system accepts a Service Name containing only special characters and creates the service instead of displaying a validation message.</t>
  </si>
  <si>
    <t>Duplicate Promotion Code is accepted</t>
  </si>
  <si>
    <t>The system allows a promotion to be created with an existing Promotion Code instead of displaying a duplicate-code validation message.</t>
  </si>
  <si>
    <t>Cancel does not clear Add Service form data</t>
  </si>
  <si>
    <t>After entering service information and clicking Cancel, the entered data is not cleared and the Add Service form is not reset.</t>
  </si>
  <si>
    <t>1. Open the page described in TC009.
2. Execute the testcase using the specified test data.
3. Observe the actual behavior.</t>
  </si>
  <si>
    <t>Promotion End Date before Start Date is accepted</t>
  </si>
  <si>
    <t>The system accepts Period Start Date = 2026-01-31 and Period End Date = 2026-01-01 and creates the promotion even though the end date is earlier than the start date.</t>
  </si>
  <si>
    <t>Module: 3.8 Authentication</t>
  </si>
  <si>
    <t>All Services export and print actions do not work</t>
  </si>
  <si>
    <t>1. Open the page described in TC021.
2. Execute the testcase using the specified test data.
3. Observe the actual behavior.</t>
  </si>
  <si>
    <t>Negative percentage Promotion Value is accepted</t>
  </si>
  <si>
    <t>The system accepts a negative Promotion Value for the PERCENTAGE type and creates the promotion instead of rejecting the invalid value.</t>
  </si>
  <si>
    <t>Delete Service icon does not work</t>
  </si>
  <si>
    <t>Clicking the delete icon for a service produces no response and does not open a confirmation dialog or delete the selected service.</t>
  </si>
  <si>
    <t>Negative fixed Promotion Value is accepted</t>
  </si>
  <si>
    <t>The system accepts a negative Promotion Value for the FIXED type and creates the promotion instead of rejecting the invalid value.</t>
  </si>
  <si>
    <t>Cancel does not clear Add Promotion form data</t>
  </si>
  <si>
    <t>After entering promotion information and clicking Cancel, the entered data is not cleared and the Add Promotion form is not reset.</t>
  </si>
  <si>
    <t>1. Open the page described in TC012.
2. Execute the testcase using the specified test data.
3. Observe the actual behavior.</t>
  </si>
  <si>
    <t>Delete Promotion icon does not work</t>
  </si>
  <si>
    <t>Clicking the delete icon for a promotion produces no response and does not open a confirmation dialog or delete the selected promotion.</t>
  </si>
  <si>
    <t>1. Open the page described in TC018.
2. Execute the testcase using the specified test data.
3. Observe the actual behavior.</t>
  </si>
  <si>
    <t>All Promotions export and print actions do not work</t>
  </si>
  <si>
    <t>The Tools menu opens successfully, but the Print, Save as PDF, and Export to Excel options do not respond when selected.</t>
  </si>
  <si>
    <t>1. Open the page described in TC024.
2. Execute the testcase using the specified test data.
3. Observe the actual behavior.</t>
  </si>
  <si>
    <t>Module: 3.9 Staff &amp; Roles</t>
  </si>
  <si>
    <t>Cancel does not clear Add Staff form data</t>
  </si>
  <si>
    <t>After entering staff information and clicking Cancel, the entered data is not cleared and the Add Staff form is not reset.</t>
  </si>
  <si>
    <t>Delete Staff icon does not work</t>
  </si>
  <si>
    <t>Clicking the delete icon for a staff account produces no response and does not open a confirmation dialog or delete the selected account.</t>
  </si>
  <si>
    <t>Lower role can access an unauthorized admin URL</t>
  </si>
  <si>
    <t>A user with a lower-level role can access the /admin URL directly. Although fewer functions are displayed, the user is still allowed to enter an admin area that should be restricted by role.</t>
  </si>
  <si>
    <t>Module: 3.10 Credit Card</t>
  </si>
  <si>
    <t>CreditCard Number accepts letters and special characters</t>
  </si>
  <si>
    <t>The system accepts CreditCard Number = abcd@@@@ and creates the credit card instead of displaying a numeric-format validation message.</t>
  </si>
  <si>
    <t>Expired Expiry Year is accepted</t>
  </si>
  <si>
    <t>The system accepts Expiry Year = 2020 and creates the credit card instead of displaying an expired-year validation message.</t>
  </si>
  <si>
    <t>Invalid short or zero CVV is accepted</t>
  </si>
  <si>
    <t>The system accepts CVV values such as 0 and 12 and creates the credit card. Only letters and special characters are rejected.</t>
  </si>
  <si>
    <t>Negative-zero Balance is normalized and accepted</t>
  </si>
  <si>
    <t>The system accepts Balance = -0, creates the credit card, and displays the saved value as 0 instead of rejecting the negative-format input.</t>
  </si>
  <si>
    <t>Cancel does not clear Add CreditCard form data</t>
  </si>
  <si>
    <t>After entering credit card information and clicking Cancel, the entered data is not cleared and the Add CreditCard form is not reset.</t>
  </si>
  <si>
    <t>All CreditCard export and print actions do not work</t>
  </si>
</sst>
</file>

<file path=xl/styles.xml><?xml version="1.0" encoding="utf-8"?>
<styleSheet xmlns="http://schemas.openxmlformats.org/spreadsheetml/2006/main" xmlns:x14ac="http://schemas.microsoft.com/office/spreadsheetml/2009/9/ac" xmlns:mc="http://schemas.openxmlformats.org/markup-compatibility/2006">
  <fonts count="11">
    <font>
      <sz val="11.0"/>
      <color rgb="FF000000"/>
      <name val="Carlito"/>
      <scheme val="minor"/>
    </font>
    <font>
      <b/>
      <sz val="14.0"/>
      <color rgb="FFFFFFFF"/>
      <name val="Times New Roman"/>
    </font>
    <font>
      <b/>
      <sz val="11.0"/>
      <color rgb="FF0F766E"/>
      <name val="Times New Roman"/>
    </font>
    <font>
      <b/>
      <sz val="11.0"/>
      <color rgb="FFB91C1C"/>
      <name val="Times New Roman"/>
    </font>
    <font>
      <sz val="11.0"/>
      <color theme="1"/>
      <name val="Times New Roman"/>
    </font>
    <font>
      <b/>
      <sz val="11.0"/>
      <color rgb="FFFFFFFF"/>
      <name val="Times New Roman"/>
    </font>
    <font>
      <sz val="11.0"/>
      <color rgb="FF0563C1"/>
      <name val="Times New Roman"/>
    </font>
    <font>
      <sz val="11.0"/>
      <color rgb="FF1F2937"/>
      <name val="Times New Roman"/>
    </font>
    <font>
      <u/>
      <sz val="11.0"/>
      <color rgb="FF0563C1"/>
      <name val="Times New Roman"/>
    </font>
    <font>
      <sz val="11.0"/>
      <color theme="0"/>
      <name val="Times New Roman"/>
    </font>
    <font>
      <sz val="11.0"/>
      <color theme="1"/>
      <name val="Carlito"/>
    </font>
  </fonts>
  <fills count="8">
    <fill>
      <patternFill patternType="none"/>
    </fill>
    <fill>
      <patternFill patternType="lightGray"/>
    </fill>
    <fill>
      <patternFill patternType="solid">
        <fgColor rgb="FF1F4E78"/>
        <bgColor rgb="FF1F4E78"/>
      </patternFill>
    </fill>
    <fill>
      <patternFill patternType="solid">
        <fgColor rgb="FFD9EAF7"/>
        <bgColor rgb="FFD9EAF7"/>
      </patternFill>
    </fill>
    <fill>
      <patternFill patternType="solid">
        <fgColor rgb="FFFFFFFF"/>
        <bgColor rgb="FFFFFFFF"/>
      </patternFill>
    </fill>
    <fill>
      <patternFill patternType="solid">
        <fgColor rgb="FF4472C4"/>
        <bgColor rgb="FF4472C4"/>
      </patternFill>
    </fill>
    <fill>
      <patternFill patternType="solid">
        <fgColor theme="0"/>
        <bgColor theme="0"/>
      </patternFill>
    </fill>
    <fill>
      <patternFill patternType="solid">
        <fgColor rgb="FF12501B"/>
        <bgColor rgb="FF12501B"/>
      </patternFill>
    </fill>
  </fills>
  <borders count="5">
    <border/>
    <border>
      <right style="thin">
        <color rgb="FF000000"/>
      </right>
    </border>
    <border>
      <left style="thin">
        <color rgb="FF000000"/>
      </left>
      <right style="thin">
        <color rgb="FF000000"/>
      </right>
    </border>
    <border>
      <left style="thin">
        <color rgb="FF000000"/>
      </left>
      <right style="thin">
        <color rgb="FF000000"/>
      </right>
      <top style="thin">
        <color rgb="FF000000"/>
      </top>
      <bottom style="thin">
        <color rgb="FF000000"/>
      </bottom>
    </border>
    <border>
      <left style="thin">
        <color rgb="FF000000"/>
      </left>
    </border>
  </borders>
  <cellStyleXfs count="1">
    <xf borderId="0" fillId="0" fontId="0" numFmtId="0" applyAlignment="1" applyFont="1"/>
  </cellStyleXfs>
  <cellXfs count="23">
    <xf borderId="0" fillId="0" fontId="0" numFmtId="0" xfId="0" applyAlignment="1" applyFont="1">
      <alignment readingOrder="0" shrinkToFit="0" vertical="bottom" wrapText="0"/>
    </xf>
    <xf borderId="0" fillId="2" fontId="1" numFmtId="0" xfId="0" applyAlignment="1" applyFill="1" applyFont="1">
      <alignment horizontal="left" shrinkToFit="0" vertical="top" wrapText="1"/>
    </xf>
    <xf borderId="0" fillId="3" fontId="2" numFmtId="0" xfId="0" applyAlignment="1" applyFill="1" applyFont="1">
      <alignment horizontal="left" shrinkToFit="0" vertical="top" wrapText="1"/>
    </xf>
    <xf borderId="0" fillId="3" fontId="3" numFmtId="0" xfId="0" applyAlignment="1" applyFont="1">
      <alignment horizontal="center" shrinkToFit="0" vertical="top" wrapText="1"/>
    </xf>
    <xf borderId="0" fillId="4" fontId="4" numFmtId="0" xfId="0" applyAlignment="1" applyFill="1" applyFont="1">
      <alignment shrinkToFit="0" vertical="top" wrapText="1"/>
    </xf>
    <xf borderId="1" fillId="5" fontId="5" numFmtId="0" xfId="0" applyAlignment="1" applyBorder="1" applyFill="1" applyFont="1">
      <alignment horizontal="center" shrinkToFit="0" vertical="center" wrapText="1"/>
    </xf>
    <xf borderId="2" fillId="5" fontId="5" numFmtId="0" xfId="0" applyAlignment="1" applyBorder="1" applyFont="1">
      <alignment horizontal="center" shrinkToFit="0" vertical="center" wrapText="1"/>
    </xf>
    <xf borderId="3" fillId="5" fontId="5" numFmtId="0" xfId="0" applyAlignment="1" applyBorder="1" applyFont="1">
      <alignment horizontal="center" shrinkToFit="0" vertical="center" wrapText="1"/>
    </xf>
    <xf borderId="4" fillId="5" fontId="5" numFmtId="0" xfId="0" applyAlignment="1" applyBorder="1" applyFont="1">
      <alignment horizontal="center" shrinkToFit="0" vertical="center" wrapText="1"/>
    </xf>
    <xf borderId="0" fillId="0" fontId="4" numFmtId="0" xfId="0" applyAlignment="1" applyFont="1">
      <alignment horizontal="center" shrinkToFit="0" vertical="top" wrapText="1"/>
    </xf>
    <xf borderId="0" fillId="0" fontId="6" numFmtId="0" xfId="0" applyAlignment="1" applyFont="1">
      <alignment horizontal="center" shrinkToFit="0" vertical="top" wrapText="1"/>
    </xf>
    <xf borderId="3" fillId="0" fontId="7" numFmtId="0" xfId="0" applyAlignment="1" applyBorder="1" applyFont="1">
      <alignment horizontal="center" shrinkToFit="0" vertical="top" wrapText="1"/>
    </xf>
    <xf borderId="0" fillId="0" fontId="4" numFmtId="0" xfId="0" applyAlignment="1" applyFont="1">
      <alignment shrinkToFit="0" vertical="top" wrapText="1"/>
    </xf>
    <xf borderId="3" fillId="0" fontId="8" numFmtId="0" xfId="0" applyAlignment="1" applyBorder="1" applyFont="1">
      <alignment horizontal="center" shrinkToFit="0" vertical="top" wrapText="1"/>
    </xf>
    <xf borderId="3" fillId="0" fontId="7" numFmtId="0" xfId="0" applyAlignment="1" applyBorder="1" applyFont="1">
      <alignment shrinkToFit="0" vertical="top" wrapText="1"/>
    </xf>
    <xf borderId="3" fillId="6" fontId="9" numFmtId="0" xfId="0" applyAlignment="1" applyBorder="1" applyFill="1" applyFont="1">
      <alignment horizontal="center" shrinkToFit="0" vertical="top" wrapText="1"/>
    </xf>
    <xf borderId="3" fillId="0" fontId="4" numFmtId="0" xfId="0" applyAlignment="1" applyBorder="1" applyFont="1">
      <alignment horizontal="center" shrinkToFit="0" vertical="top" wrapText="1"/>
    </xf>
    <xf borderId="3" fillId="0" fontId="4" numFmtId="0" xfId="0" applyAlignment="1" applyBorder="1" applyFont="1">
      <alignment shrinkToFit="0" vertical="top" wrapText="1"/>
    </xf>
    <xf borderId="3" fillId="6" fontId="4" numFmtId="0" xfId="0" applyAlignment="1" applyBorder="1" applyFont="1">
      <alignment horizontal="center" shrinkToFit="0" vertical="top" wrapText="1"/>
    </xf>
    <xf borderId="3" fillId="0" fontId="6" numFmtId="0" xfId="0" applyAlignment="1" applyBorder="1" applyFont="1">
      <alignment horizontal="center" readingOrder="0" shrinkToFit="0" vertical="top" wrapText="1"/>
    </xf>
    <xf borderId="3" fillId="7" fontId="4" numFmtId="0" xfId="0" applyAlignment="1" applyBorder="1" applyFill="1" applyFont="1">
      <alignment horizontal="center" shrinkToFit="0" vertical="top" wrapText="1"/>
    </xf>
    <xf borderId="0" fillId="6" fontId="10" numFmtId="0" xfId="0" applyFont="1"/>
    <xf borderId="3" fillId="0" fontId="4" numFmtId="0" xfId="0" applyAlignment="1" applyBorder="1" applyFont="1">
      <alignment shrinkToFit="0" vertical="center" wrapText="1"/>
    </xf>
  </cellXfs>
  <cellStyles count="1">
    <cellStyle xfId="0" name="Normal" builtinId="0"/>
  </cellStyles>
  <dxfs count="5">
    <dxf>
      <font>
        <b/>
        <color rgb="FF991B1B"/>
      </font>
      <fill>
        <patternFill patternType="solid">
          <fgColor rgb="FFFECACA"/>
          <bgColor rgb="FFFECACA"/>
        </patternFill>
      </fill>
      <border/>
    </dxf>
    <dxf>
      <font>
        <b/>
        <color rgb="FF9A3412"/>
      </font>
      <fill>
        <patternFill patternType="solid">
          <fgColor rgb="FFFED7AA"/>
          <bgColor rgb="FFFED7AA"/>
        </patternFill>
      </fill>
      <border/>
    </dxf>
    <dxf>
      <font>
        <color rgb="FF92400E"/>
      </font>
      <fill>
        <patternFill patternType="solid">
          <fgColor rgb="FFFEF3C7"/>
          <bgColor rgb="FFFEF3C7"/>
        </patternFill>
      </fill>
      <border/>
    </dxf>
    <dxf>
      <font>
        <b/>
        <color rgb="FFB91C1C"/>
      </font>
      <fill>
        <patternFill patternType="solid">
          <fgColor rgb="FFFEE2E2"/>
          <bgColor rgb="FFFEE2E2"/>
        </patternFill>
      </fill>
      <border/>
    </dxf>
    <dxf>
      <font>
        <b/>
        <color rgb="FF166534"/>
      </font>
      <fill>
        <patternFill patternType="solid">
          <fgColor rgb="FFDCFCE7"/>
          <bgColor rgb="FFDCFCE7"/>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4"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1</v>
      </c>
    </row>
    <row r="2" ht="13.5" customHeight="1">
      <c r="A2" s="2" t="s">
        <v>4</v>
      </c>
      <c r="F2" s="3">
        <v>2.0</v>
      </c>
    </row>
    <row r="3" ht="13.5" customHeight="1"/>
    <row r="4" ht="13.5" customHeight="1">
      <c r="A4" s="4"/>
      <c r="B4" s="4"/>
      <c r="C4" s="4"/>
      <c r="D4" s="4"/>
      <c r="E4" s="4"/>
      <c r="F4" s="4"/>
      <c r="G4" s="4"/>
      <c r="H4" s="4"/>
      <c r="I4" s="4"/>
      <c r="J4" s="4"/>
    </row>
    <row r="5" ht="20.25" customHeight="1">
      <c r="A5" s="5" t="s">
        <v>5</v>
      </c>
      <c r="B5" s="6" t="s">
        <v>6</v>
      </c>
      <c r="C5" s="6" t="s">
        <v>7</v>
      </c>
      <c r="D5" s="6" t="s">
        <v>8</v>
      </c>
      <c r="E5" s="6" t="s">
        <v>9</v>
      </c>
      <c r="F5" s="6" t="s">
        <v>10</v>
      </c>
      <c r="G5" s="6" t="s">
        <v>11</v>
      </c>
      <c r="H5" s="6" t="s">
        <v>12</v>
      </c>
      <c r="I5" s="6" t="s">
        <v>13</v>
      </c>
      <c r="J5" s="8" t="s">
        <v>14</v>
      </c>
    </row>
    <row r="6" ht="53.25" customHeight="1">
      <c r="A6" s="11">
        <v>1.0</v>
      </c>
      <c r="B6" s="13" t="str">
        <f>HYPERLINK("[TestCase_Tien.xlsx]'3.1 Revenue Report'!A7","TC006")</f>
        <v>TC006</v>
      </c>
      <c r="C6" s="14" t="s">
        <v>17</v>
      </c>
      <c r="D6" s="14" t="s">
        <v>20</v>
      </c>
      <c r="E6" s="14" t="s">
        <v>23</v>
      </c>
      <c r="F6" s="15" t="s">
        <v>27</v>
      </c>
      <c r="G6" s="11" t="s">
        <v>26</v>
      </c>
      <c r="H6" s="11" t="s">
        <v>24</v>
      </c>
      <c r="I6" s="11" t="s">
        <v>28</v>
      </c>
      <c r="J6" s="11"/>
    </row>
    <row r="7" ht="53.25" customHeight="1">
      <c r="A7" s="11">
        <v>2.0</v>
      </c>
      <c r="B7" s="13" t="str">
        <f>HYPERLINK("[TestCase_Tien.xlsx]'3.1 Revenue Report'!A12","TC011")</f>
        <v>TC011</v>
      </c>
      <c r="C7" s="14" t="s">
        <v>36</v>
      </c>
      <c r="D7" s="14" t="s">
        <v>37</v>
      </c>
      <c r="E7" s="14" t="s">
        <v>38</v>
      </c>
      <c r="F7" s="15" t="s">
        <v>27</v>
      </c>
      <c r="G7" s="11" t="s">
        <v>26</v>
      </c>
      <c r="H7" s="11" t="s">
        <v>24</v>
      </c>
      <c r="I7" s="11" t="s">
        <v>28</v>
      </c>
      <c r="J7" s="11"/>
    </row>
    <row r="8" ht="53.25" customHeight="1">
      <c r="A8" s="9"/>
      <c r="B8" s="10"/>
      <c r="C8" s="12"/>
      <c r="D8" s="12"/>
      <c r="E8" s="12"/>
      <c r="F8" s="9"/>
      <c r="G8" s="9"/>
      <c r="H8" s="9"/>
      <c r="I8" s="9"/>
      <c r="J8" s="9"/>
    </row>
    <row r="9" ht="53.25" customHeight="1">
      <c r="A9" s="9"/>
      <c r="B9" s="10"/>
      <c r="C9" s="12"/>
      <c r="D9" s="12"/>
      <c r="E9" s="12"/>
      <c r="F9" s="9"/>
      <c r="G9" s="9"/>
      <c r="H9" s="9"/>
      <c r="I9" s="9"/>
      <c r="J9" s="9"/>
    </row>
    <row r="10" ht="53.25" customHeight="1">
      <c r="A10" s="9"/>
      <c r="B10" s="10"/>
      <c r="C10" s="12"/>
      <c r="D10" s="12"/>
      <c r="E10" s="12"/>
      <c r="F10" s="9"/>
      <c r="G10" s="9"/>
      <c r="H10" s="9"/>
      <c r="I10" s="9"/>
      <c r="J10" s="9"/>
    </row>
    <row r="11" ht="53.25" customHeight="1">
      <c r="A11" s="9"/>
      <c r="B11" s="10"/>
      <c r="C11" s="12"/>
      <c r="D11" s="12"/>
      <c r="E11" s="12"/>
      <c r="F11" s="9"/>
      <c r="G11" s="9"/>
      <c r="H11" s="9"/>
      <c r="I11" s="9"/>
      <c r="J11" s="9"/>
    </row>
    <row r="12" ht="53.25" customHeight="1">
      <c r="A12" s="9"/>
      <c r="B12" s="10"/>
      <c r="C12" s="12"/>
      <c r="D12" s="12"/>
      <c r="E12" s="12"/>
      <c r="F12" s="9"/>
      <c r="G12" s="9"/>
      <c r="H12" s="9"/>
      <c r="I12" s="9"/>
      <c r="J12" s="9"/>
    </row>
    <row r="13" ht="53.25" customHeight="1">
      <c r="A13" s="9"/>
      <c r="B13" s="10"/>
      <c r="C13" s="12"/>
      <c r="D13" s="12"/>
      <c r="E13" s="12"/>
      <c r="F13" s="9"/>
      <c r="G13" s="9"/>
      <c r="H13" s="9"/>
      <c r="I13" s="9"/>
      <c r="J13" s="9"/>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7">
    <cfRule type="expression" dxfId="0" priority="1">
      <formula>F6="Critical"</formula>
    </cfRule>
  </conditionalFormatting>
  <conditionalFormatting sqref="F6:F7">
    <cfRule type="expression" dxfId="1" priority="2">
      <formula>F6="Major"</formula>
    </cfRule>
  </conditionalFormatting>
  <conditionalFormatting sqref="F6:F7">
    <cfRule type="expression" dxfId="2" priority="3">
      <formula>F6="Minor"</formula>
    </cfRule>
  </conditionalFormatting>
  <conditionalFormatting sqref="I6:I7">
    <cfRule type="expression" dxfId="3" priority="4">
      <formula>I6="Open"</formula>
    </cfRule>
  </conditionalFormatting>
  <conditionalFormatting sqref="I6:I7">
    <cfRule type="expression" dxfId="4" priority="5">
      <formula>I6="Closed"</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2</v>
      </c>
    </row>
    <row r="2" ht="13.5" customHeight="1">
      <c r="A2" s="2" t="s">
        <v>4</v>
      </c>
      <c r="F2" s="3">
        <v>0.0</v>
      </c>
    </row>
    <row r="3" ht="13.5" customHeight="1"/>
    <row r="4" ht="13.5" customHeight="1">
      <c r="A4" s="4"/>
      <c r="B4" s="4"/>
      <c r="C4" s="4"/>
      <c r="D4" s="4"/>
      <c r="E4" s="4"/>
      <c r="F4" s="4"/>
      <c r="G4" s="4"/>
      <c r="H4" s="4"/>
      <c r="I4" s="4"/>
      <c r="J4" s="4"/>
    </row>
    <row r="5" ht="20.25" customHeight="1">
      <c r="A5" s="5" t="s">
        <v>5</v>
      </c>
      <c r="B5" s="6" t="s">
        <v>6</v>
      </c>
      <c r="C5" s="6" t="s">
        <v>7</v>
      </c>
      <c r="D5" s="6" t="s">
        <v>8</v>
      </c>
      <c r="E5" s="6" t="s">
        <v>9</v>
      </c>
      <c r="F5" s="6" t="s">
        <v>10</v>
      </c>
      <c r="G5" s="6" t="s">
        <v>11</v>
      </c>
      <c r="H5" s="6" t="s">
        <v>12</v>
      </c>
      <c r="I5" s="6" t="s">
        <v>13</v>
      </c>
      <c r="J5" s="8" t="s">
        <v>14</v>
      </c>
    </row>
    <row r="6" ht="53.25" customHeight="1">
      <c r="A6" s="9"/>
      <c r="B6" s="10"/>
      <c r="C6" s="12"/>
      <c r="D6" s="12"/>
      <c r="E6" s="12"/>
      <c r="F6" s="9"/>
      <c r="G6" s="9"/>
      <c r="H6" s="9"/>
      <c r="I6" s="9"/>
      <c r="J6" s="9"/>
    </row>
    <row r="7" ht="53.25" customHeight="1">
      <c r="A7" s="9"/>
      <c r="B7" s="10"/>
      <c r="C7" s="12"/>
      <c r="D7" s="12"/>
      <c r="E7" s="12"/>
      <c r="F7" s="9"/>
      <c r="G7" s="9"/>
      <c r="H7" s="9"/>
      <c r="I7" s="9"/>
      <c r="J7" s="9"/>
    </row>
    <row r="8" ht="53.25" customHeight="1">
      <c r="A8" s="9"/>
      <c r="B8" s="10"/>
      <c r="C8" s="12"/>
      <c r="D8" s="12"/>
      <c r="E8" s="12"/>
      <c r="F8" s="9"/>
      <c r="G8" s="9"/>
      <c r="H8" s="9"/>
      <c r="I8" s="9"/>
      <c r="J8" s="9"/>
    </row>
    <row r="9" ht="53.25" customHeight="1">
      <c r="A9" s="9"/>
      <c r="B9" s="10"/>
      <c r="C9" s="12"/>
      <c r="D9" s="12"/>
      <c r="E9" s="12"/>
      <c r="F9" s="9"/>
      <c r="G9" s="9"/>
      <c r="H9" s="9"/>
      <c r="I9" s="9"/>
      <c r="J9" s="9"/>
    </row>
    <row r="10" ht="53.25" customHeight="1">
      <c r="A10" s="9"/>
      <c r="B10" s="10"/>
      <c r="C10" s="12"/>
      <c r="D10" s="12"/>
      <c r="E10" s="12"/>
      <c r="F10" s="9"/>
      <c r="G10" s="9"/>
      <c r="H10" s="9"/>
      <c r="I10" s="9"/>
      <c r="J10" s="9"/>
    </row>
    <row r="11" ht="53.25" customHeight="1">
      <c r="A11" s="9"/>
      <c r="B11" s="10"/>
      <c r="C11" s="12"/>
      <c r="D11" s="12"/>
      <c r="E11" s="12"/>
      <c r="F11" s="9"/>
      <c r="G11" s="9"/>
      <c r="H11" s="9"/>
      <c r="I11" s="9"/>
      <c r="J11" s="9"/>
    </row>
    <row r="12" ht="53.25" customHeight="1">
      <c r="A12" s="9"/>
      <c r="B12" s="10"/>
      <c r="C12" s="12"/>
      <c r="D12" s="12"/>
      <c r="E12" s="12"/>
      <c r="F12" s="9"/>
      <c r="G12" s="9"/>
      <c r="H12" s="9"/>
      <c r="I12" s="9"/>
      <c r="J12" s="9"/>
    </row>
    <row r="13" ht="53.25" customHeight="1">
      <c r="A13" s="9"/>
      <c r="B13" s="10"/>
      <c r="C13" s="12"/>
      <c r="D13" s="12"/>
      <c r="E13" s="12"/>
      <c r="F13" s="9"/>
      <c r="G13" s="9"/>
      <c r="H13" s="9"/>
      <c r="I13" s="9"/>
      <c r="J13" s="9"/>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0</v>
      </c>
    </row>
    <row r="2" ht="13.5" customHeight="1">
      <c r="A2" s="2" t="s">
        <v>4</v>
      </c>
      <c r="F2" s="3">
        <v>5.0</v>
      </c>
    </row>
    <row r="3" ht="13.5" customHeight="1"/>
    <row r="4" ht="13.5" customHeight="1">
      <c r="A4" s="4"/>
      <c r="B4" s="4"/>
      <c r="C4" s="4"/>
      <c r="D4" s="4"/>
      <c r="E4" s="4"/>
      <c r="F4" s="4"/>
      <c r="G4" s="4"/>
      <c r="H4" s="4"/>
      <c r="I4" s="4"/>
      <c r="J4" s="4"/>
    </row>
    <row r="5" ht="20.25" customHeight="1">
      <c r="A5" s="5" t="s">
        <v>5</v>
      </c>
      <c r="B5" s="6" t="s">
        <v>6</v>
      </c>
      <c r="C5" s="6" t="s">
        <v>7</v>
      </c>
      <c r="D5" s="6" t="s">
        <v>8</v>
      </c>
      <c r="E5" s="6" t="s">
        <v>9</v>
      </c>
      <c r="F5" s="6" t="s">
        <v>10</v>
      </c>
      <c r="G5" s="6" t="s">
        <v>11</v>
      </c>
      <c r="H5" s="6" t="s">
        <v>12</v>
      </c>
      <c r="I5" s="6" t="s">
        <v>13</v>
      </c>
      <c r="J5" s="8" t="s">
        <v>14</v>
      </c>
    </row>
    <row r="6" ht="53.25" customHeight="1">
      <c r="A6" s="11">
        <v>1.0</v>
      </c>
      <c r="B6" s="13" t="str">
        <f>HYPERLINK("[TestCase_Tien.xlsx]'3.3 User Management'!A4","TC003")</f>
        <v>TC003</v>
      </c>
      <c r="C6" s="14" t="s">
        <v>15</v>
      </c>
      <c r="D6" s="14" t="s">
        <v>18</v>
      </c>
      <c r="E6" s="14" t="s">
        <v>21</v>
      </c>
      <c r="F6" s="11" t="s">
        <v>24</v>
      </c>
      <c r="G6" s="11" t="s">
        <v>26</v>
      </c>
      <c r="H6" s="11" t="s">
        <v>24</v>
      </c>
      <c r="I6" s="11" t="s">
        <v>28</v>
      </c>
      <c r="J6" s="11"/>
    </row>
    <row r="7" ht="53.25" customHeight="1">
      <c r="A7" s="11">
        <v>2.0</v>
      </c>
      <c r="B7" s="13" t="str">
        <f>HYPERLINK("[TestCase_Tien.xlsx]'3.3 User Management'!A8","TC007")</f>
        <v>TC007</v>
      </c>
      <c r="C7" s="14" t="s">
        <v>30</v>
      </c>
      <c r="D7" s="14" t="s">
        <v>32</v>
      </c>
      <c r="E7" s="14" t="s">
        <v>34</v>
      </c>
      <c r="F7" s="11" t="s">
        <v>27</v>
      </c>
      <c r="G7" s="11" t="s">
        <v>26</v>
      </c>
      <c r="H7" s="11" t="s">
        <v>24</v>
      </c>
      <c r="I7" s="11" t="s">
        <v>28</v>
      </c>
      <c r="J7" s="11"/>
    </row>
    <row r="8" ht="53.25" customHeight="1">
      <c r="A8" s="11">
        <v>3.0</v>
      </c>
      <c r="B8" s="13" t="str">
        <f>HYPERLINK("[TestCase_Tien.xlsx]'3.3 User Management'!A35","TC034")</f>
        <v>TC034</v>
      </c>
      <c r="C8" s="14" t="s">
        <v>42</v>
      </c>
      <c r="D8" s="14" t="s">
        <v>43</v>
      </c>
      <c r="E8" s="14" t="s">
        <v>44</v>
      </c>
      <c r="F8" s="11" t="s">
        <v>27</v>
      </c>
      <c r="G8" s="11" t="s">
        <v>26</v>
      </c>
      <c r="H8" s="11" t="s">
        <v>24</v>
      </c>
      <c r="I8" s="11" t="s">
        <v>28</v>
      </c>
      <c r="J8" s="11"/>
    </row>
    <row r="9" ht="53.25" customHeight="1">
      <c r="A9" s="11">
        <v>4.0</v>
      </c>
      <c r="B9" s="13" t="str">
        <f>HYPERLINK("[TestCase_Tien.xlsx]'3.3 User Management'!A36","TC035")</f>
        <v>TC035</v>
      </c>
      <c r="C9" s="14" t="s">
        <v>48</v>
      </c>
      <c r="D9" s="14" t="s">
        <v>49</v>
      </c>
      <c r="E9" s="14" t="s">
        <v>50</v>
      </c>
      <c r="F9" s="11" t="s">
        <v>24</v>
      </c>
      <c r="G9" s="11" t="s">
        <v>26</v>
      </c>
      <c r="H9" s="11" t="s">
        <v>24</v>
      </c>
      <c r="I9" s="11" t="s">
        <v>28</v>
      </c>
      <c r="J9" s="11"/>
    </row>
    <row r="10" ht="53.25" customHeight="1">
      <c r="A10" s="11">
        <v>5.0</v>
      </c>
      <c r="B10" s="13" t="str">
        <f>HYPERLINK("[TestCase_Tien.xlsx]'3.3 User Management'!A17","TC016")</f>
        <v>TC016</v>
      </c>
      <c r="C10" s="14" t="s">
        <v>54</v>
      </c>
      <c r="D10" s="14" t="s">
        <v>55</v>
      </c>
      <c r="E10" s="14" t="s">
        <v>56</v>
      </c>
      <c r="F10" s="11" t="s">
        <v>57</v>
      </c>
      <c r="G10" s="11" t="s">
        <v>26</v>
      </c>
      <c r="H10" s="11" t="s">
        <v>29</v>
      </c>
      <c r="I10" s="11" t="s">
        <v>28</v>
      </c>
      <c r="J10" s="11"/>
    </row>
    <row r="11" ht="53.25" customHeight="1">
      <c r="A11" s="9"/>
      <c r="B11" s="10"/>
      <c r="C11" s="12"/>
      <c r="D11" s="12"/>
      <c r="E11" s="12"/>
      <c r="F11" s="9"/>
      <c r="G11" s="9"/>
      <c r="H11" s="9"/>
      <c r="I11" s="9"/>
      <c r="J11" s="9"/>
    </row>
    <row r="12" ht="53.25" customHeight="1">
      <c r="A12" s="9"/>
      <c r="B12" s="10"/>
      <c r="C12" s="12"/>
      <c r="D12" s="12"/>
      <c r="E12" s="12"/>
      <c r="F12" s="9"/>
      <c r="G12" s="9"/>
      <c r="H12" s="9"/>
      <c r="I12" s="9"/>
      <c r="J12" s="9"/>
    </row>
    <row r="13" ht="53.25" customHeight="1">
      <c r="A13" s="9"/>
      <c r="B13" s="10"/>
      <c r="C13" s="12"/>
      <c r="D13" s="12"/>
      <c r="E13" s="12"/>
      <c r="F13" s="9"/>
      <c r="G13" s="9"/>
      <c r="H13" s="9"/>
      <c r="I13" s="9"/>
      <c r="J13" s="9"/>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10">
    <cfRule type="expression" dxfId="0" priority="1">
      <formula>F6="Critical"</formula>
    </cfRule>
  </conditionalFormatting>
  <conditionalFormatting sqref="F6:F10">
    <cfRule type="expression" dxfId="1" priority="2">
      <formula>F6="Major"</formula>
    </cfRule>
  </conditionalFormatting>
  <conditionalFormatting sqref="F6:F10">
    <cfRule type="expression" dxfId="2" priority="3">
      <formula>F6="Minor"</formula>
    </cfRule>
  </conditionalFormatting>
  <conditionalFormatting sqref="I6:I10">
    <cfRule type="expression" dxfId="3" priority="4">
      <formula>I6="Open"</formula>
    </cfRule>
  </conditionalFormatting>
  <conditionalFormatting sqref="I6:I10">
    <cfRule type="expression" dxfId="4" priority="5">
      <formula>I6="Closed"</formula>
    </cfRule>
  </conditionalFormatting>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3</v>
      </c>
    </row>
    <row r="2" ht="13.5" customHeight="1">
      <c r="A2" s="2" t="s">
        <v>4</v>
      </c>
      <c r="F2" s="3">
        <v>8.0</v>
      </c>
    </row>
    <row r="3" ht="13.5" customHeight="1"/>
    <row r="4" ht="13.5" customHeight="1">
      <c r="A4" s="4"/>
      <c r="B4" s="4"/>
      <c r="C4" s="4"/>
      <c r="D4" s="4"/>
      <c r="E4" s="4"/>
      <c r="F4" s="4"/>
      <c r="G4" s="4"/>
      <c r="H4" s="4"/>
      <c r="I4" s="4"/>
      <c r="J4" s="4"/>
    </row>
    <row r="5" ht="20.25" customHeight="1">
      <c r="A5" s="7" t="s">
        <v>5</v>
      </c>
      <c r="B5" s="7" t="s">
        <v>6</v>
      </c>
      <c r="C5" s="7" t="s">
        <v>7</v>
      </c>
      <c r="D5" s="7" t="s">
        <v>8</v>
      </c>
      <c r="E5" s="7" t="s">
        <v>9</v>
      </c>
      <c r="F5" s="7" t="s">
        <v>10</v>
      </c>
      <c r="G5" s="7" t="s">
        <v>11</v>
      </c>
      <c r="H5" s="7" t="s">
        <v>12</v>
      </c>
      <c r="I5" s="7" t="s">
        <v>13</v>
      </c>
      <c r="J5" s="7" t="s">
        <v>14</v>
      </c>
    </row>
    <row r="6" ht="53.25" customHeight="1">
      <c r="A6" s="11">
        <v>1.0</v>
      </c>
      <c r="B6" s="13" t="str">
        <f>HYPERLINK("[TestCase_Tien.xlsx]'3.4 Room Type'!A3","TC002")</f>
        <v>TC002</v>
      </c>
      <c r="C6" s="14" t="s">
        <v>16</v>
      </c>
      <c r="D6" s="14" t="s">
        <v>19</v>
      </c>
      <c r="E6" s="14" t="s">
        <v>22</v>
      </c>
      <c r="F6" s="11" t="s">
        <v>25</v>
      </c>
      <c r="G6" s="11" t="s">
        <v>26</v>
      </c>
      <c r="H6" s="11" t="s">
        <v>29</v>
      </c>
      <c r="I6" s="11" t="s">
        <v>28</v>
      </c>
      <c r="J6" s="11"/>
    </row>
    <row r="7" ht="53.25" customHeight="1">
      <c r="A7" s="11">
        <v>2.0</v>
      </c>
      <c r="B7" s="13" t="str">
        <f>HYPERLINK("[TestCase_Tien.xlsx]'3.4 Room Type'!A5","TC004")</f>
        <v>TC004</v>
      </c>
      <c r="C7" s="14" t="s">
        <v>31</v>
      </c>
      <c r="D7" s="14" t="s">
        <v>33</v>
      </c>
      <c r="E7" s="14" t="s">
        <v>35</v>
      </c>
      <c r="F7" s="11" t="s">
        <v>24</v>
      </c>
      <c r="G7" s="11" t="s">
        <v>26</v>
      </c>
      <c r="H7" s="11" t="s">
        <v>24</v>
      </c>
      <c r="I7" s="11" t="s">
        <v>28</v>
      </c>
      <c r="J7" s="11"/>
    </row>
    <row r="8" ht="53.25" customHeight="1">
      <c r="A8" s="11">
        <v>3.0</v>
      </c>
      <c r="B8" s="13" t="str">
        <f>HYPERLINK("[TestCase_Tien.xlsx]'3.4 Room Type'!A6","TC005")</f>
        <v>TC005</v>
      </c>
      <c r="C8" s="14" t="s">
        <v>39</v>
      </c>
      <c r="D8" s="14" t="s">
        <v>40</v>
      </c>
      <c r="E8" s="14" t="s">
        <v>41</v>
      </c>
      <c r="F8" s="11" t="s">
        <v>24</v>
      </c>
      <c r="G8" s="11" t="s">
        <v>26</v>
      </c>
      <c r="H8" s="11" t="s">
        <v>24</v>
      </c>
      <c r="I8" s="11" t="s">
        <v>28</v>
      </c>
      <c r="J8" s="11"/>
    </row>
    <row r="9" ht="53.25" customHeight="1">
      <c r="A9" s="11">
        <v>4.0</v>
      </c>
      <c r="B9" s="13" t="str">
        <f>HYPERLINK("[TestCase_Tien.xlsx]'3.4 Room Type'!A9","TC008")</f>
        <v>TC008</v>
      </c>
      <c r="C9" s="14" t="s">
        <v>45</v>
      </c>
      <c r="D9" s="14" t="s">
        <v>46</v>
      </c>
      <c r="E9" s="14" t="s">
        <v>47</v>
      </c>
      <c r="F9" s="11" t="s">
        <v>27</v>
      </c>
      <c r="G9" s="11" t="s">
        <v>26</v>
      </c>
      <c r="H9" s="11" t="s">
        <v>24</v>
      </c>
      <c r="I9" s="11" t="s">
        <v>28</v>
      </c>
      <c r="J9" s="11"/>
    </row>
    <row r="10" ht="53.25" customHeight="1">
      <c r="A10" s="11">
        <v>5.0</v>
      </c>
      <c r="B10" s="13" t="str">
        <f>HYPERLINK("[TestCase_Tien.xlsx]'3.4 Room Type'!A15","TC014")</f>
        <v>TC014</v>
      </c>
      <c r="C10" s="14" t="s">
        <v>51</v>
      </c>
      <c r="D10" s="14" t="s">
        <v>52</v>
      </c>
      <c r="E10" s="14" t="s">
        <v>53</v>
      </c>
      <c r="F10" s="11" t="s">
        <v>27</v>
      </c>
      <c r="G10" s="11" t="s">
        <v>26</v>
      </c>
      <c r="H10" s="11" t="s">
        <v>24</v>
      </c>
      <c r="I10" s="11" t="s">
        <v>28</v>
      </c>
      <c r="J10" s="11"/>
    </row>
    <row r="11" ht="53.25" customHeight="1">
      <c r="A11" s="16">
        <v>6.0</v>
      </c>
      <c r="B11" s="13" t="str">
        <f>HYPERLINK("[TestCase_Tien.xlsx]3.4 Room Type!A24","TC023")</f>
        <v>TC023</v>
      </c>
      <c r="C11" s="17" t="s">
        <v>58</v>
      </c>
      <c r="D11" s="17" t="s">
        <v>59</v>
      </c>
      <c r="E11" s="17" t="s">
        <v>60</v>
      </c>
      <c r="F11" s="18" t="s">
        <v>25</v>
      </c>
      <c r="G11" s="16" t="s">
        <v>26</v>
      </c>
      <c r="H11" s="16" t="s">
        <v>29</v>
      </c>
      <c r="I11" s="11" t="s">
        <v>28</v>
      </c>
      <c r="J11" s="16"/>
    </row>
    <row r="12" ht="53.25" customHeight="1">
      <c r="A12" s="16">
        <v>7.0</v>
      </c>
      <c r="B12" s="13" t="str">
        <f>HYPERLINK("[TestCase_Tien.xlsx]3.4 Room Type!A25","TC024")</f>
        <v>TC024</v>
      </c>
      <c r="C12" s="17" t="s">
        <v>61</v>
      </c>
      <c r="D12" s="17" t="s">
        <v>62</v>
      </c>
      <c r="E12" s="17" t="s">
        <v>63</v>
      </c>
      <c r="F12" s="18" t="s">
        <v>25</v>
      </c>
      <c r="G12" s="16" t="s">
        <v>26</v>
      </c>
      <c r="H12" s="16" t="s">
        <v>29</v>
      </c>
      <c r="I12" s="11" t="s">
        <v>28</v>
      </c>
      <c r="J12" s="16"/>
    </row>
    <row r="13" ht="53.25" customHeight="1">
      <c r="A13" s="16">
        <v>8.0</v>
      </c>
      <c r="B13" s="19" t="s">
        <v>64</v>
      </c>
      <c r="C13" s="17" t="s">
        <v>65</v>
      </c>
      <c r="D13" s="17" t="s">
        <v>66</v>
      </c>
      <c r="E13" s="17" t="s">
        <v>67</v>
      </c>
      <c r="F13" s="18" t="s">
        <v>25</v>
      </c>
      <c r="G13" s="16" t="s">
        <v>26</v>
      </c>
      <c r="H13" s="16" t="s">
        <v>29</v>
      </c>
      <c r="I13" s="11" t="s">
        <v>28</v>
      </c>
      <c r="J13" s="16"/>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13">
    <cfRule type="expression" dxfId="0" priority="1">
      <formula>F6="Critical"</formula>
    </cfRule>
  </conditionalFormatting>
  <conditionalFormatting sqref="F6:F13">
    <cfRule type="expression" dxfId="1" priority="2">
      <formula>F6="Major"</formula>
    </cfRule>
  </conditionalFormatting>
  <conditionalFormatting sqref="F6:F13">
    <cfRule type="expression" dxfId="2" priority="3">
      <formula>F6="Minor"</formula>
    </cfRule>
  </conditionalFormatting>
  <conditionalFormatting sqref="I6:I13">
    <cfRule type="expression" dxfId="3" priority="4">
      <formula>I6="Open"</formula>
    </cfRule>
  </conditionalFormatting>
  <conditionalFormatting sqref="I6:I13">
    <cfRule type="expression" dxfId="4" priority="5">
      <formula>I6="Closed"</formula>
    </cfRule>
  </conditionalFormatting>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68</v>
      </c>
    </row>
    <row r="2" ht="13.5" customHeight="1">
      <c r="A2" s="2" t="s">
        <v>4</v>
      </c>
      <c r="F2" s="3">
        <v>11.0</v>
      </c>
    </row>
    <row r="3" ht="13.5" customHeight="1"/>
    <row r="4" ht="13.5" customHeight="1">
      <c r="A4" s="4"/>
      <c r="B4" s="4"/>
      <c r="C4" s="4"/>
      <c r="D4" s="4"/>
      <c r="E4" s="4"/>
      <c r="F4" s="4"/>
      <c r="G4" s="4"/>
      <c r="H4" s="4"/>
      <c r="I4" s="4"/>
      <c r="J4" s="4"/>
    </row>
    <row r="5" ht="20.25" customHeight="1">
      <c r="A5" s="7" t="s">
        <v>5</v>
      </c>
      <c r="B5" s="7" t="s">
        <v>6</v>
      </c>
      <c r="C5" s="7" t="s">
        <v>7</v>
      </c>
      <c r="D5" s="7" t="s">
        <v>8</v>
      </c>
      <c r="E5" s="7" t="s">
        <v>9</v>
      </c>
      <c r="F5" s="7" t="s">
        <v>10</v>
      </c>
      <c r="G5" s="7" t="s">
        <v>11</v>
      </c>
      <c r="H5" s="7" t="s">
        <v>12</v>
      </c>
      <c r="I5" s="7" t="s">
        <v>13</v>
      </c>
      <c r="J5" s="7" t="s">
        <v>14</v>
      </c>
    </row>
    <row r="6" ht="53.25" customHeight="1">
      <c r="A6" s="11">
        <v>1.0</v>
      </c>
      <c r="B6" s="13" t="str">
        <f>HYPERLINK("[TestCase_Tien.xlsx]'3.5 Room'!A3","TC002")</f>
        <v>TC002</v>
      </c>
      <c r="C6" s="14" t="s">
        <v>69</v>
      </c>
      <c r="D6" s="14" t="s">
        <v>19</v>
      </c>
      <c r="E6" s="14" t="s">
        <v>22</v>
      </c>
      <c r="F6" s="20" t="s">
        <v>25</v>
      </c>
      <c r="G6" s="11" t="s">
        <v>26</v>
      </c>
      <c r="H6" s="11" t="s">
        <v>29</v>
      </c>
      <c r="I6" s="11" t="s">
        <v>28</v>
      </c>
      <c r="J6" s="11"/>
    </row>
    <row r="7" ht="53.25" customHeight="1">
      <c r="A7" s="11">
        <v>2.0</v>
      </c>
      <c r="B7" s="13" t="str">
        <f>HYPERLINK("[TestCase_Tien.xlsx]'3.5 Room'!A11","TC010")</f>
        <v>TC010</v>
      </c>
      <c r="C7" s="14" t="s">
        <v>70</v>
      </c>
      <c r="D7" s="14" t="s">
        <v>71</v>
      </c>
      <c r="E7" s="14" t="s">
        <v>72</v>
      </c>
      <c r="F7" s="18" t="s">
        <v>25</v>
      </c>
      <c r="G7" s="11" t="s">
        <v>26</v>
      </c>
      <c r="H7" s="11" t="s">
        <v>29</v>
      </c>
      <c r="I7" s="11" t="s">
        <v>28</v>
      </c>
      <c r="J7" s="11"/>
    </row>
    <row r="8" ht="53.25" customHeight="1">
      <c r="A8" s="11">
        <v>3.0</v>
      </c>
      <c r="B8" s="13" t="str">
        <f>HYPERLINK("[TestCase_Tien.xlsx]'3.5 Room'!A6","TC005")</f>
        <v>TC005</v>
      </c>
      <c r="C8" s="14" t="s">
        <v>74</v>
      </c>
      <c r="D8" s="14" t="s">
        <v>75</v>
      </c>
      <c r="E8" s="14" t="s">
        <v>41</v>
      </c>
      <c r="F8" s="18" t="s">
        <v>24</v>
      </c>
      <c r="G8" s="11" t="s">
        <v>26</v>
      </c>
      <c r="H8" s="11" t="s">
        <v>24</v>
      </c>
      <c r="I8" s="11" t="s">
        <v>28</v>
      </c>
      <c r="J8" s="11"/>
    </row>
    <row r="9" ht="53.25" customHeight="1">
      <c r="A9" s="11">
        <v>4.0</v>
      </c>
      <c r="B9" s="13" t="str">
        <f>HYPERLINK("[TestCase_Tien.xlsx]'3.5 Room'!A7","TC006")</f>
        <v>TC006</v>
      </c>
      <c r="C9" s="14" t="s">
        <v>76</v>
      </c>
      <c r="D9" s="14" t="s">
        <v>77</v>
      </c>
      <c r="E9" s="14" t="s">
        <v>23</v>
      </c>
      <c r="F9" s="18" t="s">
        <v>24</v>
      </c>
      <c r="G9" s="11" t="s">
        <v>26</v>
      </c>
      <c r="H9" s="11" t="s">
        <v>24</v>
      </c>
      <c r="I9" s="11" t="s">
        <v>28</v>
      </c>
      <c r="J9" s="11"/>
    </row>
    <row r="10" ht="53.25" customHeight="1">
      <c r="A10" s="11">
        <v>5.0</v>
      </c>
      <c r="B10" s="13" t="str">
        <f>HYPERLINK("[TestCase_Tien.xlsx]'3.5 Room'!A8","TC007")</f>
        <v>TC007</v>
      </c>
      <c r="C10" s="14" t="s">
        <v>78</v>
      </c>
      <c r="D10" s="14" t="s">
        <v>79</v>
      </c>
      <c r="E10" s="14" t="s">
        <v>34</v>
      </c>
      <c r="F10" s="18" t="s">
        <v>57</v>
      </c>
      <c r="G10" s="11" t="s">
        <v>26</v>
      </c>
      <c r="H10" s="11" t="s">
        <v>29</v>
      </c>
      <c r="I10" s="11" t="s">
        <v>28</v>
      </c>
      <c r="J10" s="11"/>
      <c r="P10" s="21"/>
    </row>
    <row r="11" ht="53.25" customHeight="1">
      <c r="A11" s="11">
        <v>6.0</v>
      </c>
      <c r="B11" s="13" t="str">
        <f>HYPERLINK("[TestCase_Tien.xlsx]'3.5 Room'!A11","TC010")</f>
        <v>TC010</v>
      </c>
      <c r="C11" s="14" t="s">
        <v>80</v>
      </c>
      <c r="D11" s="14" t="s">
        <v>81</v>
      </c>
      <c r="E11" s="14" t="s">
        <v>72</v>
      </c>
      <c r="F11" s="18" t="s">
        <v>24</v>
      </c>
      <c r="G11" s="11" t="s">
        <v>26</v>
      </c>
      <c r="H11" s="11" t="s">
        <v>24</v>
      </c>
      <c r="I11" s="11" t="s">
        <v>28</v>
      </c>
      <c r="J11" s="11"/>
    </row>
    <row r="12" ht="53.25" customHeight="1">
      <c r="A12" s="11">
        <v>7.0</v>
      </c>
      <c r="B12" s="13" t="str">
        <f>HYPERLINK("[TestCase_Tien.xlsx]'3.5 Room'!A16","TC015")</f>
        <v>TC015</v>
      </c>
      <c r="C12" s="14" t="s">
        <v>82</v>
      </c>
      <c r="D12" s="14" t="s">
        <v>83</v>
      </c>
      <c r="E12" s="14" t="s">
        <v>85</v>
      </c>
      <c r="F12" s="18" t="s">
        <v>27</v>
      </c>
      <c r="G12" s="11" t="s">
        <v>26</v>
      </c>
      <c r="H12" s="11" t="s">
        <v>24</v>
      </c>
      <c r="I12" s="11" t="s">
        <v>28</v>
      </c>
      <c r="J12" s="11"/>
    </row>
    <row r="13" ht="53.25" customHeight="1">
      <c r="A13" s="11">
        <v>8.0</v>
      </c>
      <c r="B13" s="13" t="str">
        <f>HYPERLINK("[TestCase_Tien.xlsx]'3.5 Room'!A23","TC022")</f>
        <v>TC022</v>
      </c>
      <c r="C13" s="14" t="s">
        <v>88</v>
      </c>
      <c r="D13" s="14" t="s">
        <v>49</v>
      </c>
      <c r="E13" s="14" t="s">
        <v>89</v>
      </c>
      <c r="F13" s="16" t="s">
        <v>24</v>
      </c>
      <c r="G13" s="11" t="s">
        <v>26</v>
      </c>
      <c r="H13" s="11" t="s">
        <v>24</v>
      </c>
      <c r="I13" s="11" t="s">
        <v>28</v>
      </c>
      <c r="J13" s="11"/>
    </row>
    <row r="14" ht="53.25" customHeight="1">
      <c r="A14" s="16">
        <v>9.0</v>
      </c>
      <c r="B14" s="13" t="str">
        <f>HYPERLINK("[TestCase_Tien.xlsx]3.5 Room!A9","TC008")</f>
        <v>TC008</v>
      </c>
      <c r="C14" s="17" t="s">
        <v>90</v>
      </c>
      <c r="D14" s="17" t="s">
        <v>92</v>
      </c>
      <c r="E14" s="22" t="s">
        <v>93</v>
      </c>
      <c r="F14" s="18" t="s">
        <v>25</v>
      </c>
      <c r="G14" s="16" t="s">
        <v>26</v>
      </c>
      <c r="H14" s="16" t="s">
        <v>29</v>
      </c>
      <c r="I14" s="11" t="s">
        <v>28</v>
      </c>
      <c r="J14" s="16"/>
    </row>
    <row r="15" ht="53.25" customHeight="1">
      <c r="A15" s="16">
        <v>10.0</v>
      </c>
      <c r="B15" s="13" t="str">
        <f>HYPERLINK("[TestCase_Tien.xlsx]3.5 Room!A13","TC012")</f>
        <v>TC012</v>
      </c>
      <c r="C15" s="17" t="s">
        <v>95</v>
      </c>
      <c r="D15" s="17" t="s">
        <v>96</v>
      </c>
      <c r="E15" s="22" t="s">
        <v>97</v>
      </c>
      <c r="F15" s="18" t="s">
        <v>25</v>
      </c>
      <c r="G15" s="16" t="s">
        <v>26</v>
      </c>
      <c r="H15" s="16" t="s">
        <v>29</v>
      </c>
      <c r="I15" s="11" t="s">
        <v>28</v>
      </c>
      <c r="J15" s="16"/>
    </row>
    <row r="16" ht="53.25" customHeight="1">
      <c r="A16" s="16">
        <v>11.0</v>
      </c>
      <c r="B16" s="13" t="str">
        <f>HYPERLINK("[TestCase_Tien.xlsx]3.5 Room!A15","TC014")</f>
        <v>TC014</v>
      </c>
      <c r="C16" s="17" t="s">
        <v>100</v>
      </c>
      <c r="D16" s="17" t="s">
        <v>101</v>
      </c>
      <c r="E16" s="22" t="s">
        <v>102</v>
      </c>
      <c r="F16" s="16" t="s">
        <v>57</v>
      </c>
      <c r="G16" s="16" t="s">
        <v>26</v>
      </c>
      <c r="H16" s="16" t="s">
        <v>29</v>
      </c>
      <c r="I16" s="11" t="s">
        <v>28</v>
      </c>
      <c r="J16" s="16"/>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16">
    <cfRule type="expression" dxfId="0" priority="1">
      <formula>F6="Critical"</formula>
    </cfRule>
  </conditionalFormatting>
  <conditionalFormatting sqref="F6:F16">
    <cfRule type="expression" dxfId="1" priority="2">
      <formula>F6="Major"</formula>
    </cfRule>
  </conditionalFormatting>
  <conditionalFormatting sqref="F6:F16">
    <cfRule type="expression" dxfId="2" priority="3">
      <formula>F6="Minor"</formula>
    </cfRule>
  </conditionalFormatting>
  <conditionalFormatting sqref="I6:I16">
    <cfRule type="expression" dxfId="3" priority="4">
      <formula>I6="Open"</formula>
    </cfRule>
  </conditionalFormatting>
  <conditionalFormatting sqref="I6:I16">
    <cfRule type="expression" dxfId="4" priority="5">
      <formula>I6="Closed"</formula>
    </cfRule>
  </conditionalFormatting>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73</v>
      </c>
    </row>
    <row r="2" ht="13.5" customHeight="1">
      <c r="A2" s="2" t="s">
        <v>4</v>
      </c>
      <c r="F2" s="3">
        <v>8.0</v>
      </c>
    </row>
    <row r="3" ht="13.5" customHeight="1"/>
    <row r="4" ht="13.5" customHeight="1">
      <c r="A4" s="4"/>
      <c r="B4" s="4"/>
      <c r="C4" s="4"/>
      <c r="D4" s="4"/>
      <c r="E4" s="4"/>
      <c r="F4" s="4"/>
      <c r="G4" s="4"/>
      <c r="H4" s="4"/>
      <c r="I4" s="4"/>
      <c r="J4" s="4"/>
    </row>
    <row r="5" ht="20.25" customHeight="1">
      <c r="A5" s="7" t="s">
        <v>5</v>
      </c>
      <c r="B5" s="7" t="s">
        <v>6</v>
      </c>
      <c r="C5" s="7" t="s">
        <v>7</v>
      </c>
      <c r="D5" s="7" t="s">
        <v>8</v>
      </c>
      <c r="E5" s="7" t="s">
        <v>9</v>
      </c>
      <c r="F5" s="7" t="s">
        <v>10</v>
      </c>
      <c r="G5" s="7" t="s">
        <v>11</v>
      </c>
      <c r="H5" s="7" t="s">
        <v>12</v>
      </c>
      <c r="I5" s="7" t="s">
        <v>13</v>
      </c>
      <c r="J5" s="7" t="s">
        <v>14</v>
      </c>
    </row>
    <row r="6" ht="53.25" customHeight="1">
      <c r="A6" s="11">
        <v>1.0</v>
      </c>
      <c r="B6" s="13" t="str">
        <f>HYPERLINK("[TestCase_Tien.xlsx]'3.6 Service'!A3","TC002")</f>
        <v>TC002</v>
      </c>
      <c r="C6" s="14" t="s">
        <v>84</v>
      </c>
      <c r="D6" s="14" t="s">
        <v>86</v>
      </c>
      <c r="E6" s="14" t="s">
        <v>22</v>
      </c>
      <c r="F6" s="11" t="s">
        <v>25</v>
      </c>
      <c r="G6" s="11" t="s">
        <v>26</v>
      </c>
      <c r="H6" s="11" t="s">
        <v>29</v>
      </c>
      <c r="I6" s="11" t="s">
        <v>28</v>
      </c>
      <c r="J6" s="11"/>
    </row>
    <row r="7" ht="53.25" customHeight="1">
      <c r="A7" s="11">
        <v>2.0</v>
      </c>
      <c r="B7" s="13" t="str">
        <f>HYPERLINK("[TestCase_Tien.xlsx]'3.6 Service'!A5","TC004")</f>
        <v>TC004</v>
      </c>
      <c r="C7" s="14" t="s">
        <v>91</v>
      </c>
      <c r="D7" s="14" t="s">
        <v>94</v>
      </c>
      <c r="E7" s="14" t="s">
        <v>35</v>
      </c>
      <c r="F7" s="11" t="s">
        <v>57</v>
      </c>
      <c r="G7" s="11" t="s">
        <v>26</v>
      </c>
      <c r="H7" s="11" t="s">
        <v>29</v>
      </c>
      <c r="I7" s="11" t="s">
        <v>28</v>
      </c>
      <c r="J7" s="11"/>
    </row>
    <row r="8" ht="53.25" customHeight="1">
      <c r="A8" s="11">
        <v>3.0</v>
      </c>
      <c r="B8" s="13" t="str">
        <f>HYPERLINK("[TestCase_Tien.xlsx]'3.6 Service'!A6","TC005")</f>
        <v>TC005</v>
      </c>
      <c r="C8" s="14" t="s">
        <v>98</v>
      </c>
      <c r="D8" s="14" t="s">
        <v>99</v>
      </c>
      <c r="E8" s="14" t="s">
        <v>41</v>
      </c>
      <c r="F8" s="11" t="s">
        <v>57</v>
      </c>
      <c r="G8" s="11" t="s">
        <v>26</v>
      </c>
      <c r="H8" s="11" t="s">
        <v>29</v>
      </c>
      <c r="I8" s="11" t="s">
        <v>28</v>
      </c>
      <c r="J8" s="11"/>
    </row>
    <row r="9" ht="53.25" customHeight="1">
      <c r="A9" s="11">
        <v>4.0</v>
      </c>
      <c r="B9" s="13" t="str">
        <f>HYPERLINK("[TestCase_Tien.xlsx]'3.6 Service'!A7","TC006")</f>
        <v>TC006</v>
      </c>
      <c r="C9" s="14" t="s">
        <v>104</v>
      </c>
      <c r="D9" s="14" t="s">
        <v>105</v>
      </c>
      <c r="E9" s="14" t="s">
        <v>23</v>
      </c>
      <c r="F9" s="11" t="s">
        <v>24</v>
      </c>
      <c r="G9" s="11" t="s">
        <v>26</v>
      </c>
      <c r="H9" s="11" t="s">
        <v>24</v>
      </c>
      <c r="I9" s="11" t="s">
        <v>28</v>
      </c>
      <c r="J9" s="11"/>
    </row>
    <row r="10" ht="53.25" customHeight="1">
      <c r="A10" s="11">
        <v>5.0</v>
      </c>
      <c r="B10" s="13" t="str">
        <f>HYPERLINK("[TestCase_Tien.xlsx]'3.6 Service'!A9","TC008")</f>
        <v>TC008</v>
      </c>
      <c r="C10" s="14" t="s">
        <v>108</v>
      </c>
      <c r="D10" s="14" t="s">
        <v>109</v>
      </c>
      <c r="E10" s="14" t="s">
        <v>47</v>
      </c>
      <c r="F10" s="11" t="s">
        <v>24</v>
      </c>
      <c r="G10" s="11" t="s">
        <v>26</v>
      </c>
      <c r="H10" s="11" t="s">
        <v>24</v>
      </c>
      <c r="I10" s="11" t="s">
        <v>28</v>
      </c>
      <c r="J10" s="11"/>
    </row>
    <row r="11" ht="53.25" customHeight="1">
      <c r="A11" s="11">
        <v>6.0</v>
      </c>
      <c r="B11" s="13" t="str">
        <f>HYPERLINK("[TestCase_Tien.xlsx]'3.6 Service'!A10","TC009")</f>
        <v>TC009</v>
      </c>
      <c r="C11" s="14" t="s">
        <v>112</v>
      </c>
      <c r="D11" s="14" t="s">
        <v>113</v>
      </c>
      <c r="E11" s="14" t="s">
        <v>114</v>
      </c>
      <c r="F11" s="11" t="s">
        <v>27</v>
      </c>
      <c r="G11" s="11" t="s">
        <v>26</v>
      </c>
      <c r="H11" s="11" t="s">
        <v>24</v>
      </c>
      <c r="I11" s="11" t="s">
        <v>28</v>
      </c>
      <c r="J11" s="11"/>
    </row>
    <row r="12" ht="53.25" customHeight="1">
      <c r="A12" s="11">
        <v>7.0</v>
      </c>
      <c r="B12" s="13" t="str">
        <f>HYPERLINK("[TestCase_Tien.xlsx]'3.6 Service'!A22","TC021")</f>
        <v>TC021</v>
      </c>
      <c r="C12" s="14" t="s">
        <v>118</v>
      </c>
      <c r="D12" s="14" t="s">
        <v>49</v>
      </c>
      <c r="E12" s="14" t="s">
        <v>119</v>
      </c>
      <c r="F12" s="11" t="s">
        <v>24</v>
      </c>
      <c r="G12" s="11" t="s">
        <v>26</v>
      </c>
      <c r="H12" s="11" t="s">
        <v>24</v>
      </c>
      <c r="I12" s="11" t="s">
        <v>28</v>
      </c>
      <c r="J12" s="11"/>
    </row>
    <row r="13" ht="53.25" customHeight="1">
      <c r="A13" s="11">
        <v>8.0</v>
      </c>
      <c r="B13" s="13" t="str">
        <f>HYPERLINK("[TestCase_Tien.xlsx]'3.6 Service'!A16","TC015")</f>
        <v>TC015</v>
      </c>
      <c r="C13" s="14" t="s">
        <v>122</v>
      </c>
      <c r="D13" s="14" t="s">
        <v>123</v>
      </c>
      <c r="E13" s="14" t="s">
        <v>85</v>
      </c>
      <c r="F13" s="11" t="s">
        <v>57</v>
      </c>
      <c r="G13" s="11" t="s">
        <v>26</v>
      </c>
      <c r="H13" s="11" t="s">
        <v>29</v>
      </c>
      <c r="I13" s="11" t="s">
        <v>28</v>
      </c>
      <c r="J13" s="11"/>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13">
    <cfRule type="expression" dxfId="0" priority="1">
      <formula>F6="Critical"</formula>
    </cfRule>
  </conditionalFormatting>
  <conditionalFormatting sqref="F6:F13">
    <cfRule type="expression" dxfId="1" priority="2">
      <formula>F6="Major"</formula>
    </cfRule>
  </conditionalFormatting>
  <conditionalFormatting sqref="F6:F13">
    <cfRule type="expression" dxfId="2" priority="3">
      <formula>F6="Minor"</formula>
    </cfRule>
  </conditionalFormatting>
  <conditionalFormatting sqref="I6:I13">
    <cfRule type="expression" dxfId="3" priority="4">
      <formula>I6="Open"</formula>
    </cfRule>
  </conditionalFormatting>
  <conditionalFormatting sqref="I6:I13">
    <cfRule type="expression" dxfId="4" priority="5">
      <formula>I6="Closed"</formula>
    </cfRule>
  </conditionalFormatting>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87</v>
      </c>
    </row>
    <row r="2" ht="13.5" customHeight="1">
      <c r="A2" s="2" t="s">
        <v>4</v>
      </c>
      <c r="F2" s="3">
        <v>9.0</v>
      </c>
    </row>
    <row r="3" ht="13.5" customHeight="1"/>
    <row r="4" ht="13.5" customHeight="1">
      <c r="A4" s="4"/>
      <c r="B4" s="4"/>
      <c r="C4" s="4"/>
      <c r="D4" s="4"/>
      <c r="E4" s="4"/>
      <c r="F4" s="4"/>
      <c r="G4" s="4"/>
      <c r="H4" s="4"/>
      <c r="I4" s="4"/>
      <c r="J4" s="4"/>
    </row>
    <row r="5" ht="20.25" customHeight="1">
      <c r="A5" s="7" t="s">
        <v>5</v>
      </c>
      <c r="B5" s="7" t="s">
        <v>6</v>
      </c>
      <c r="C5" s="7" t="s">
        <v>7</v>
      </c>
      <c r="D5" s="7" t="s">
        <v>8</v>
      </c>
      <c r="E5" s="7" t="s">
        <v>9</v>
      </c>
      <c r="F5" s="7" t="s">
        <v>10</v>
      </c>
      <c r="G5" s="7" t="s">
        <v>11</v>
      </c>
      <c r="H5" s="7" t="s">
        <v>12</v>
      </c>
      <c r="I5" s="7" t="s">
        <v>13</v>
      </c>
      <c r="J5" s="7" t="s">
        <v>14</v>
      </c>
    </row>
    <row r="6" ht="53.25" customHeight="1">
      <c r="A6" s="11">
        <v>1.0</v>
      </c>
      <c r="B6" s="13" t="str">
        <f>HYPERLINK("[TestCase_Tien.xlsx]'3.7 Promotion'!A3","TC002")</f>
        <v>TC002</v>
      </c>
      <c r="C6" s="14" t="s">
        <v>103</v>
      </c>
      <c r="D6" s="14" t="s">
        <v>86</v>
      </c>
      <c r="E6" s="14" t="s">
        <v>22</v>
      </c>
      <c r="F6" s="11" t="s">
        <v>25</v>
      </c>
      <c r="G6" s="11" t="s">
        <v>26</v>
      </c>
      <c r="H6" s="11" t="s">
        <v>29</v>
      </c>
      <c r="I6" s="11" t="s">
        <v>28</v>
      </c>
      <c r="J6" s="11"/>
    </row>
    <row r="7" ht="53.25" customHeight="1">
      <c r="A7" s="11">
        <v>2.0</v>
      </c>
      <c r="B7" s="13" t="str">
        <f>HYPERLINK("[TestCase_Tien.xlsx]'3.7 Promotion'!A6","TC005")</f>
        <v>TC005</v>
      </c>
      <c r="C7" s="14" t="s">
        <v>106</v>
      </c>
      <c r="D7" s="14" t="s">
        <v>107</v>
      </c>
      <c r="E7" s="14" t="s">
        <v>41</v>
      </c>
      <c r="F7" s="11" t="s">
        <v>57</v>
      </c>
      <c r="G7" s="11" t="s">
        <v>26</v>
      </c>
      <c r="H7" s="11" t="s">
        <v>29</v>
      </c>
      <c r="I7" s="11" t="s">
        <v>28</v>
      </c>
      <c r="J7" s="11"/>
    </row>
    <row r="8" ht="53.25" customHeight="1">
      <c r="A8" s="11">
        <v>3.0</v>
      </c>
      <c r="B8" s="13" t="str">
        <f>HYPERLINK("[TestCase_Tien.xlsx]'3.7 Promotion'!A7","TC006")</f>
        <v>TC006</v>
      </c>
      <c r="C8" s="14" t="s">
        <v>110</v>
      </c>
      <c r="D8" s="14" t="s">
        <v>111</v>
      </c>
      <c r="E8" s="14" t="s">
        <v>23</v>
      </c>
      <c r="F8" s="11" t="s">
        <v>57</v>
      </c>
      <c r="G8" s="11" t="s">
        <v>26</v>
      </c>
      <c r="H8" s="11" t="s">
        <v>29</v>
      </c>
      <c r="I8" s="11" t="s">
        <v>28</v>
      </c>
      <c r="J8" s="11"/>
    </row>
    <row r="9" ht="53.25" customHeight="1">
      <c r="A9" s="11">
        <v>4.0</v>
      </c>
      <c r="B9" s="13" t="str">
        <f>HYPERLINK("[TestCase_Tien.xlsx]'3.7 Promotion'!A8","TC007")</f>
        <v>TC007</v>
      </c>
      <c r="C9" s="14" t="s">
        <v>115</v>
      </c>
      <c r="D9" s="14" t="s">
        <v>116</v>
      </c>
      <c r="E9" s="14" t="s">
        <v>34</v>
      </c>
      <c r="F9" s="11" t="s">
        <v>57</v>
      </c>
      <c r="G9" s="11" t="s">
        <v>26</v>
      </c>
      <c r="H9" s="11" t="s">
        <v>29</v>
      </c>
      <c r="I9" s="11" t="s">
        <v>28</v>
      </c>
      <c r="J9" s="11"/>
    </row>
    <row r="10" ht="53.25" customHeight="1">
      <c r="A10" s="11">
        <v>5.0</v>
      </c>
      <c r="B10" s="13" t="str">
        <f>HYPERLINK("[TestCase_Tien.xlsx]'3.7 Promotion'!A11","TC010")</f>
        <v>TC010</v>
      </c>
      <c r="C10" s="14" t="s">
        <v>120</v>
      </c>
      <c r="D10" s="14" t="s">
        <v>121</v>
      </c>
      <c r="E10" s="14" t="s">
        <v>72</v>
      </c>
      <c r="F10" s="11" t="s">
        <v>57</v>
      </c>
      <c r="G10" s="11" t="s">
        <v>26</v>
      </c>
      <c r="H10" s="11" t="s">
        <v>29</v>
      </c>
      <c r="I10" s="11" t="s">
        <v>28</v>
      </c>
      <c r="J10" s="11"/>
    </row>
    <row r="11" ht="53.25" customHeight="1">
      <c r="A11" s="11">
        <v>6.0</v>
      </c>
      <c r="B11" s="13" t="str">
        <f>HYPERLINK("[TestCase_Tien.xlsx]'3.7 Promotion'!A12","TC011")</f>
        <v>TC011</v>
      </c>
      <c r="C11" s="14" t="s">
        <v>124</v>
      </c>
      <c r="D11" s="14" t="s">
        <v>125</v>
      </c>
      <c r="E11" s="14" t="s">
        <v>38</v>
      </c>
      <c r="F11" s="11" t="s">
        <v>57</v>
      </c>
      <c r="G11" s="11" t="s">
        <v>26</v>
      </c>
      <c r="H11" s="11" t="s">
        <v>29</v>
      </c>
      <c r="I11" s="11" t="s">
        <v>28</v>
      </c>
      <c r="J11" s="11"/>
    </row>
    <row r="12" ht="53.25" customHeight="1">
      <c r="A12" s="11">
        <v>7.0</v>
      </c>
      <c r="B12" s="13" t="str">
        <f>HYPERLINK("[TestCase_Tien.xlsx]'3.7 Promotion'!A13","TC012")</f>
        <v>TC012</v>
      </c>
      <c r="C12" s="14" t="s">
        <v>126</v>
      </c>
      <c r="D12" s="14" t="s">
        <v>127</v>
      </c>
      <c r="E12" s="14" t="s">
        <v>128</v>
      </c>
      <c r="F12" s="11" t="s">
        <v>27</v>
      </c>
      <c r="G12" s="11" t="s">
        <v>26</v>
      </c>
      <c r="H12" s="11" t="s">
        <v>24</v>
      </c>
      <c r="I12" s="11" t="s">
        <v>28</v>
      </c>
      <c r="J12" s="11"/>
    </row>
    <row r="13" ht="53.25" customHeight="1">
      <c r="A13" s="11">
        <v>8.0</v>
      </c>
      <c r="B13" s="13" t="str">
        <f>HYPERLINK("[TestCase_Tien.xlsx]'3.7 Promotion'!A19","TC018")</f>
        <v>TC018</v>
      </c>
      <c r="C13" s="14" t="s">
        <v>129</v>
      </c>
      <c r="D13" s="14" t="s">
        <v>130</v>
      </c>
      <c r="E13" s="14" t="s">
        <v>131</v>
      </c>
      <c r="F13" s="11" t="s">
        <v>57</v>
      </c>
      <c r="G13" s="11" t="s">
        <v>26</v>
      </c>
      <c r="H13" s="11" t="s">
        <v>29</v>
      </c>
      <c r="I13" s="11" t="s">
        <v>28</v>
      </c>
      <c r="J13" s="11"/>
    </row>
    <row r="14" ht="53.25" customHeight="1">
      <c r="A14" s="11">
        <v>9.0</v>
      </c>
      <c r="B14" s="13" t="str">
        <f>HYPERLINK("[TestCase_Tien.xlsx]'3.7 Promotion'!A25","TC024")</f>
        <v>TC024</v>
      </c>
      <c r="C14" s="14" t="s">
        <v>132</v>
      </c>
      <c r="D14" s="14" t="s">
        <v>133</v>
      </c>
      <c r="E14" s="14" t="s">
        <v>134</v>
      </c>
      <c r="F14" s="11" t="s">
        <v>24</v>
      </c>
      <c r="G14" s="11" t="s">
        <v>26</v>
      </c>
      <c r="H14" s="11" t="s">
        <v>24</v>
      </c>
      <c r="I14" s="11" t="s">
        <v>28</v>
      </c>
      <c r="J14" s="11"/>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14">
    <cfRule type="expression" dxfId="0" priority="1">
      <formula>F6="Critical"</formula>
    </cfRule>
  </conditionalFormatting>
  <conditionalFormatting sqref="F6:F14">
    <cfRule type="expression" dxfId="1" priority="2">
      <formula>F6="Major"</formula>
    </cfRule>
  </conditionalFormatting>
  <conditionalFormatting sqref="F6:F14">
    <cfRule type="expression" dxfId="2" priority="3">
      <formula>F6="Minor"</formula>
    </cfRule>
  </conditionalFormatting>
  <conditionalFormatting sqref="I6:I14">
    <cfRule type="expression" dxfId="3" priority="4">
      <formula>I6="Open"</formula>
    </cfRule>
  </conditionalFormatting>
  <conditionalFormatting sqref="I6:I14">
    <cfRule type="expression" dxfId="4" priority="5">
      <formula>I6="Closed"</formula>
    </cfRule>
  </conditionalFormatting>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117</v>
      </c>
    </row>
    <row r="2" ht="13.5" customHeight="1">
      <c r="A2" s="2" t="s">
        <v>4</v>
      </c>
      <c r="F2" s="3">
        <v>0.0</v>
      </c>
    </row>
    <row r="3" ht="13.5" customHeight="1"/>
    <row r="4" ht="13.5" customHeight="1">
      <c r="A4" s="4"/>
      <c r="B4" s="4"/>
      <c r="C4" s="4"/>
      <c r="D4" s="4"/>
      <c r="E4" s="4"/>
      <c r="F4" s="4"/>
      <c r="G4" s="4"/>
      <c r="H4" s="4"/>
      <c r="I4" s="4"/>
      <c r="J4" s="4"/>
    </row>
    <row r="5" ht="20.25" customHeight="1">
      <c r="A5" s="5" t="s">
        <v>5</v>
      </c>
      <c r="B5" s="6" t="s">
        <v>6</v>
      </c>
      <c r="C5" s="6" t="s">
        <v>7</v>
      </c>
      <c r="D5" s="6" t="s">
        <v>8</v>
      </c>
      <c r="E5" s="6" t="s">
        <v>9</v>
      </c>
      <c r="F5" s="6" t="s">
        <v>10</v>
      </c>
      <c r="G5" s="6" t="s">
        <v>11</v>
      </c>
      <c r="H5" s="6" t="s">
        <v>12</v>
      </c>
      <c r="I5" s="6" t="s">
        <v>13</v>
      </c>
      <c r="J5" s="8" t="s">
        <v>14</v>
      </c>
    </row>
    <row r="6" ht="53.25" customHeight="1">
      <c r="A6" s="9"/>
      <c r="B6" s="10"/>
      <c r="C6" s="12"/>
      <c r="D6" s="12"/>
      <c r="E6" s="12"/>
      <c r="F6" s="9"/>
      <c r="G6" s="9"/>
      <c r="H6" s="9"/>
      <c r="I6" s="9"/>
      <c r="J6" s="9"/>
    </row>
    <row r="7" ht="53.25" customHeight="1">
      <c r="A7" s="9"/>
      <c r="B7" s="10"/>
      <c r="C7" s="12"/>
      <c r="D7" s="12"/>
      <c r="E7" s="12"/>
      <c r="F7" s="9"/>
      <c r="G7" s="9"/>
      <c r="H7" s="9"/>
      <c r="I7" s="9"/>
      <c r="J7" s="9"/>
    </row>
    <row r="8" ht="53.25" customHeight="1">
      <c r="A8" s="9"/>
      <c r="B8" s="10"/>
      <c r="C8" s="12"/>
      <c r="D8" s="12"/>
      <c r="E8" s="12"/>
      <c r="F8" s="9"/>
      <c r="G8" s="9"/>
      <c r="H8" s="9"/>
      <c r="I8" s="9"/>
      <c r="J8" s="9"/>
    </row>
    <row r="9" ht="53.25" customHeight="1">
      <c r="A9" s="9"/>
      <c r="B9" s="10"/>
      <c r="C9" s="12"/>
      <c r="D9" s="12"/>
      <c r="E9" s="12"/>
      <c r="F9" s="9"/>
      <c r="G9" s="9"/>
      <c r="H9" s="9"/>
      <c r="I9" s="9"/>
      <c r="J9" s="9"/>
    </row>
    <row r="10" ht="53.25" customHeight="1">
      <c r="A10" s="9"/>
      <c r="B10" s="10"/>
      <c r="C10" s="12"/>
      <c r="D10" s="12"/>
      <c r="E10" s="12"/>
      <c r="F10" s="9"/>
      <c r="G10" s="9"/>
      <c r="H10" s="9"/>
      <c r="I10" s="9"/>
      <c r="J10" s="9"/>
    </row>
    <row r="11" ht="53.25" customHeight="1">
      <c r="A11" s="9"/>
      <c r="B11" s="10"/>
      <c r="C11" s="12"/>
      <c r="D11" s="12"/>
      <c r="E11" s="12"/>
      <c r="F11" s="9"/>
      <c r="G11" s="9"/>
      <c r="H11" s="9"/>
      <c r="I11" s="9"/>
      <c r="J11" s="9"/>
    </row>
    <row r="12" ht="53.25" customHeight="1">
      <c r="A12" s="9"/>
      <c r="B12" s="10"/>
      <c r="C12" s="12"/>
      <c r="D12" s="12"/>
      <c r="E12" s="12"/>
      <c r="F12" s="9"/>
      <c r="G12" s="9"/>
      <c r="H12" s="9"/>
      <c r="I12" s="9"/>
      <c r="J12" s="9"/>
    </row>
    <row r="13" ht="53.25" customHeight="1">
      <c r="A13" s="9"/>
      <c r="B13" s="10"/>
      <c r="C13" s="12"/>
      <c r="D13" s="12"/>
      <c r="E13" s="12"/>
      <c r="F13" s="9"/>
      <c r="G13" s="9"/>
      <c r="H13" s="9"/>
      <c r="I13" s="9"/>
      <c r="J13" s="9"/>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135</v>
      </c>
    </row>
    <row r="2" ht="13.5" customHeight="1">
      <c r="A2" s="2" t="s">
        <v>4</v>
      </c>
      <c r="F2" s="3">
        <v>3.0</v>
      </c>
    </row>
    <row r="3" ht="13.5" customHeight="1"/>
    <row r="4" ht="13.5" customHeight="1">
      <c r="A4" s="4"/>
      <c r="B4" s="4"/>
      <c r="C4" s="4"/>
      <c r="D4" s="4"/>
      <c r="E4" s="4"/>
      <c r="F4" s="4"/>
      <c r="G4" s="4"/>
      <c r="H4" s="4"/>
      <c r="I4" s="4"/>
      <c r="J4" s="4"/>
    </row>
    <row r="5" ht="20.25" customHeight="1">
      <c r="A5" s="7" t="s">
        <v>5</v>
      </c>
      <c r="B5" s="7" t="s">
        <v>6</v>
      </c>
      <c r="C5" s="7" t="s">
        <v>7</v>
      </c>
      <c r="D5" s="7" t="s">
        <v>8</v>
      </c>
      <c r="E5" s="7" t="s">
        <v>9</v>
      </c>
      <c r="F5" s="7" t="s">
        <v>10</v>
      </c>
      <c r="G5" s="7" t="s">
        <v>11</v>
      </c>
      <c r="H5" s="7" t="s">
        <v>12</v>
      </c>
      <c r="I5" s="7" t="s">
        <v>13</v>
      </c>
      <c r="J5" s="7" t="s">
        <v>14</v>
      </c>
    </row>
    <row r="6" ht="53.25" customHeight="1">
      <c r="A6" s="11">
        <v>1.0</v>
      </c>
      <c r="B6" s="13" t="str">
        <f>HYPERLINK("[TestCase_Tien.xlsx]'3.9 Staff &amp; Roles'!A10","TC009")</f>
        <v>TC009</v>
      </c>
      <c r="C6" s="14" t="s">
        <v>136</v>
      </c>
      <c r="D6" s="14" t="s">
        <v>137</v>
      </c>
      <c r="E6" s="14" t="s">
        <v>114</v>
      </c>
      <c r="F6" s="11" t="s">
        <v>27</v>
      </c>
      <c r="G6" s="11" t="s">
        <v>26</v>
      </c>
      <c r="H6" s="11" t="s">
        <v>24</v>
      </c>
      <c r="I6" s="11" t="s">
        <v>28</v>
      </c>
      <c r="J6" s="11"/>
    </row>
    <row r="7" ht="53.25" customHeight="1">
      <c r="A7" s="11">
        <v>2.0</v>
      </c>
      <c r="B7" s="13" t="str">
        <f>HYPERLINK("[TestCase_Tien.xlsx]'3.9 Staff &amp; Roles'!A17","TC016")</f>
        <v>TC016</v>
      </c>
      <c r="C7" s="14" t="s">
        <v>138</v>
      </c>
      <c r="D7" s="14" t="s">
        <v>139</v>
      </c>
      <c r="E7" s="14" t="s">
        <v>56</v>
      </c>
      <c r="F7" s="11" t="s">
        <v>57</v>
      </c>
      <c r="G7" s="11" t="s">
        <v>26</v>
      </c>
      <c r="H7" s="11" t="s">
        <v>29</v>
      </c>
      <c r="I7" s="11" t="s">
        <v>28</v>
      </c>
      <c r="J7" s="11"/>
    </row>
    <row r="8" ht="53.25" customHeight="1">
      <c r="A8" s="11">
        <v>3.0</v>
      </c>
      <c r="B8" s="13" t="str">
        <f>HYPERLINK("[TestCase_Tien.xlsx]'3.9 Staff &amp; Roles'!A19","TC018")</f>
        <v>TC018</v>
      </c>
      <c r="C8" s="14" t="s">
        <v>140</v>
      </c>
      <c r="D8" s="14" t="s">
        <v>141</v>
      </c>
      <c r="E8" s="14" t="s">
        <v>131</v>
      </c>
      <c r="F8" s="11" t="s">
        <v>57</v>
      </c>
      <c r="G8" s="11" t="s">
        <v>26</v>
      </c>
      <c r="H8" s="11" t="s">
        <v>29</v>
      </c>
      <c r="I8" s="11" t="s">
        <v>28</v>
      </c>
      <c r="J8" s="11"/>
    </row>
    <row r="9" ht="53.25" customHeight="1">
      <c r="A9" s="9"/>
      <c r="B9" s="10"/>
      <c r="C9" s="12"/>
      <c r="D9" s="12"/>
      <c r="E9" s="12"/>
      <c r="F9" s="9"/>
      <c r="G9" s="9"/>
      <c r="H9" s="9"/>
      <c r="I9" s="9"/>
      <c r="J9" s="9"/>
    </row>
    <row r="10" ht="53.25" customHeight="1">
      <c r="A10" s="9"/>
      <c r="B10" s="10"/>
      <c r="C10" s="12"/>
      <c r="D10" s="12"/>
      <c r="E10" s="12"/>
      <c r="F10" s="9"/>
      <c r="G10" s="9"/>
      <c r="H10" s="9"/>
      <c r="I10" s="9"/>
      <c r="J10" s="9"/>
    </row>
    <row r="11" ht="53.25" customHeight="1">
      <c r="A11" s="9"/>
      <c r="B11" s="10"/>
      <c r="C11" s="12"/>
      <c r="D11" s="12"/>
      <c r="E11" s="12"/>
      <c r="F11" s="9"/>
      <c r="G11" s="9"/>
      <c r="H11" s="9"/>
      <c r="I11" s="9"/>
      <c r="J11" s="9"/>
    </row>
    <row r="12" ht="53.25" customHeight="1">
      <c r="A12" s="9"/>
      <c r="B12" s="10"/>
      <c r="C12" s="12"/>
      <c r="D12" s="12"/>
      <c r="E12" s="12"/>
      <c r="F12" s="9"/>
      <c r="G12" s="9"/>
      <c r="H12" s="9"/>
      <c r="I12" s="9"/>
      <c r="J12" s="9"/>
    </row>
    <row r="13" ht="53.25" customHeight="1">
      <c r="A13" s="9"/>
      <c r="B13" s="10"/>
      <c r="C13" s="12"/>
      <c r="D13" s="12"/>
      <c r="E13" s="12"/>
      <c r="F13" s="9"/>
      <c r="G13" s="9"/>
      <c r="H13" s="9"/>
      <c r="I13" s="9"/>
      <c r="J13" s="9"/>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8">
    <cfRule type="expression" dxfId="0" priority="1">
      <formula>F6="Critical"</formula>
    </cfRule>
  </conditionalFormatting>
  <conditionalFormatting sqref="F6:F8">
    <cfRule type="expression" dxfId="1" priority="2">
      <formula>F6="Major"</formula>
    </cfRule>
  </conditionalFormatting>
  <conditionalFormatting sqref="F6:F8">
    <cfRule type="expression" dxfId="2" priority="3">
      <formula>F6="Minor"</formula>
    </cfRule>
  </conditionalFormatting>
  <conditionalFormatting sqref="I6:I8">
    <cfRule type="expression" dxfId="3" priority="4">
      <formula>I6="Open"</formula>
    </cfRule>
  </conditionalFormatting>
  <conditionalFormatting sqref="I6:I8">
    <cfRule type="expression" dxfId="4" priority="5">
      <formula>I6="Closed"</formula>
    </cfRule>
  </conditionalFormatting>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0"/>
    <col customWidth="1" min="2" max="2" width="13.0"/>
    <col customWidth="1" min="3" max="3" width="34.0"/>
    <col customWidth="1" min="4" max="4" width="44.0"/>
    <col customWidth="1" min="5" max="5" width="46.0"/>
    <col customWidth="1" min="6" max="7" width="12.0"/>
    <col customWidth="1" min="8" max="8" width="11.0"/>
    <col customWidth="1" min="9" max="9" width="12.0"/>
    <col customWidth="1" min="10" max="10" width="18.0"/>
    <col customWidth="1" min="11" max="26" width="8.63"/>
  </cols>
  <sheetData>
    <row r="1" ht="17.25" customHeight="1">
      <c r="A1" s="1" t="s">
        <v>142</v>
      </c>
    </row>
    <row r="2" ht="13.5" customHeight="1">
      <c r="A2" s="2" t="s">
        <v>4</v>
      </c>
      <c r="F2" s="3">
        <v>6.0</v>
      </c>
    </row>
    <row r="3" ht="13.5" customHeight="1"/>
    <row r="4" ht="13.5" customHeight="1">
      <c r="A4" s="4"/>
      <c r="B4" s="4"/>
      <c r="C4" s="4"/>
      <c r="D4" s="4"/>
      <c r="E4" s="4"/>
      <c r="F4" s="4"/>
      <c r="G4" s="4"/>
      <c r="H4" s="4"/>
      <c r="I4" s="4"/>
      <c r="J4" s="4"/>
    </row>
    <row r="5" ht="20.25" customHeight="1">
      <c r="A5" s="7" t="s">
        <v>5</v>
      </c>
      <c r="B5" s="7" t="s">
        <v>6</v>
      </c>
      <c r="C5" s="7" t="s">
        <v>7</v>
      </c>
      <c r="D5" s="7" t="s">
        <v>8</v>
      </c>
      <c r="E5" s="7" t="s">
        <v>9</v>
      </c>
      <c r="F5" s="7" t="s">
        <v>10</v>
      </c>
      <c r="G5" s="7" t="s">
        <v>11</v>
      </c>
      <c r="H5" s="7" t="s">
        <v>12</v>
      </c>
      <c r="I5" s="7" t="s">
        <v>13</v>
      </c>
      <c r="J5" s="7" t="s">
        <v>14</v>
      </c>
    </row>
    <row r="6" ht="53.25" customHeight="1">
      <c r="A6" s="11">
        <v>1.0</v>
      </c>
      <c r="B6" s="13" t="str">
        <f>HYPERLINK("[TestCase_Tien.xlsx]'3.10 Credit Card'!A5","TC004")</f>
        <v>TC004</v>
      </c>
      <c r="C6" s="14" t="s">
        <v>143</v>
      </c>
      <c r="D6" s="14" t="s">
        <v>144</v>
      </c>
      <c r="E6" s="14" t="s">
        <v>35</v>
      </c>
      <c r="F6" s="11" t="s">
        <v>57</v>
      </c>
      <c r="G6" s="11" t="s">
        <v>26</v>
      </c>
      <c r="H6" s="11" t="s">
        <v>29</v>
      </c>
      <c r="I6" s="11" t="s">
        <v>28</v>
      </c>
      <c r="J6" s="11"/>
    </row>
    <row r="7" ht="53.25" customHeight="1">
      <c r="A7" s="11">
        <v>2.0</v>
      </c>
      <c r="B7" s="13" t="str">
        <f>HYPERLINK("[TestCase_Tien.xlsx]'3.10 Credit Card'!A8","TC007")</f>
        <v>TC007</v>
      </c>
      <c r="C7" s="14" t="s">
        <v>145</v>
      </c>
      <c r="D7" s="14" t="s">
        <v>146</v>
      </c>
      <c r="E7" s="14" t="s">
        <v>34</v>
      </c>
      <c r="F7" s="11" t="s">
        <v>57</v>
      </c>
      <c r="G7" s="11" t="s">
        <v>26</v>
      </c>
      <c r="H7" s="11" t="s">
        <v>29</v>
      </c>
      <c r="I7" s="11" t="s">
        <v>28</v>
      </c>
      <c r="J7" s="11"/>
    </row>
    <row r="8" ht="53.25" customHeight="1">
      <c r="A8" s="11">
        <v>3.0</v>
      </c>
      <c r="B8" s="13" t="str">
        <f>HYPERLINK("[TestCase_Tien.xlsx]'3.10 Credit Card'!A9","TC008")</f>
        <v>TC008</v>
      </c>
      <c r="C8" s="14" t="s">
        <v>147</v>
      </c>
      <c r="D8" s="14" t="s">
        <v>148</v>
      </c>
      <c r="E8" s="14" t="s">
        <v>47</v>
      </c>
      <c r="F8" s="11" t="s">
        <v>57</v>
      </c>
      <c r="G8" s="11" t="s">
        <v>26</v>
      </c>
      <c r="H8" s="11" t="s">
        <v>29</v>
      </c>
      <c r="I8" s="11" t="s">
        <v>28</v>
      </c>
      <c r="J8" s="11"/>
    </row>
    <row r="9" ht="53.25" customHeight="1">
      <c r="A9" s="11">
        <v>4.0</v>
      </c>
      <c r="B9" s="13" t="str">
        <f>HYPERLINK("[TestCase_Tien.xlsx]'3.10 Credit Card'!A10","TC009")</f>
        <v>TC009</v>
      </c>
      <c r="C9" s="14" t="s">
        <v>149</v>
      </c>
      <c r="D9" s="14" t="s">
        <v>150</v>
      </c>
      <c r="E9" s="14" t="s">
        <v>114</v>
      </c>
      <c r="F9" s="11" t="s">
        <v>24</v>
      </c>
      <c r="G9" s="11" t="s">
        <v>26</v>
      </c>
      <c r="H9" s="11" t="s">
        <v>24</v>
      </c>
      <c r="I9" s="11" t="s">
        <v>28</v>
      </c>
      <c r="J9" s="11"/>
    </row>
    <row r="10" ht="53.25" customHeight="1">
      <c r="A10" s="11">
        <v>5.0</v>
      </c>
      <c r="B10" s="13" t="str">
        <f>HYPERLINK("[TestCase_Tien.xlsx]'3.10 Credit Card'!A11","TC010")</f>
        <v>TC010</v>
      </c>
      <c r="C10" s="14" t="s">
        <v>151</v>
      </c>
      <c r="D10" s="14" t="s">
        <v>152</v>
      </c>
      <c r="E10" s="14" t="s">
        <v>72</v>
      </c>
      <c r="F10" s="11" t="s">
        <v>27</v>
      </c>
      <c r="G10" s="11" t="s">
        <v>26</v>
      </c>
      <c r="H10" s="11" t="s">
        <v>24</v>
      </c>
      <c r="I10" s="11" t="s">
        <v>28</v>
      </c>
      <c r="J10" s="11"/>
    </row>
    <row r="11" ht="53.25" customHeight="1">
      <c r="A11" s="11">
        <v>6.0</v>
      </c>
      <c r="B11" s="13" t="str">
        <f>HYPERLINK("[TestCase_Tien.xlsx]'3.10 Credit Card'!A17","TC016")</f>
        <v>TC016</v>
      </c>
      <c r="C11" s="14" t="s">
        <v>153</v>
      </c>
      <c r="D11" s="14" t="s">
        <v>49</v>
      </c>
      <c r="E11" s="14" t="s">
        <v>56</v>
      </c>
      <c r="F11" s="11" t="s">
        <v>24</v>
      </c>
      <c r="G11" s="11" t="s">
        <v>26</v>
      </c>
      <c r="H11" s="11" t="s">
        <v>24</v>
      </c>
      <c r="I11" s="11" t="s">
        <v>28</v>
      </c>
      <c r="J11" s="11"/>
    </row>
    <row r="12" ht="53.25" customHeight="1">
      <c r="A12" s="9"/>
      <c r="B12" s="10"/>
      <c r="C12" s="12"/>
      <c r="D12" s="12"/>
      <c r="E12" s="12"/>
      <c r="F12" s="9"/>
      <c r="G12" s="9"/>
      <c r="H12" s="9"/>
      <c r="I12" s="9"/>
      <c r="J12" s="9"/>
    </row>
    <row r="13" ht="53.25" customHeight="1">
      <c r="A13" s="9"/>
      <c r="B13" s="10"/>
      <c r="C13" s="12"/>
      <c r="D13" s="12"/>
      <c r="E13" s="12"/>
      <c r="F13" s="9"/>
      <c r="G13" s="9"/>
      <c r="H13" s="9"/>
      <c r="I13" s="9"/>
      <c r="J13" s="9"/>
    </row>
    <row r="14" ht="53.25" customHeight="1">
      <c r="A14" s="9"/>
      <c r="B14" s="10"/>
      <c r="C14" s="12"/>
      <c r="D14" s="12"/>
      <c r="E14" s="12"/>
      <c r="F14" s="9"/>
      <c r="G14" s="9"/>
      <c r="H14" s="9"/>
      <c r="I14" s="9"/>
      <c r="J14" s="9"/>
    </row>
    <row r="15" ht="53.25" customHeight="1">
      <c r="A15" s="9"/>
      <c r="B15" s="10"/>
      <c r="C15" s="12"/>
      <c r="D15" s="12"/>
      <c r="E15" s="12"/>
      <c r="F15" s="9"/>
      <c r="G15" s="9"/>
      <c r="H15" s="9"/>
      <c r="I15" s="9"/>
      <c r="J15" s="9"/>
    </row>
    <row r="16" ht="53.25" customHeight="1">
      <c r="A16" s="9"/>
      <c r="B16" s="10"/>
      <c r="C16" s="12"/>
      <c r="D16" s="12"/>
      <c r="E16" s="12"/>
      <c r="F16" s="9"/>
      <c r="G16" s="9"/>
      <c r="H16" s="9"/>
      <c r="I16" s="9"/>
      <c r="J16" s="9"/>
    </row>
    <row r="17" ht="53.25" customHeight="1">
      <c r="A17" s="9"/>
      <c r="B17" s="10"/>
      <c r="C17" s="12"/>
      <c r="D17" s="12"/>
      <c r="E17" s="12"/>
      <c r="F17" s="9"/>
      <c r="G17" s="9"/>
      <c r="H17" s="9"/>
      <c r="I17" s="9"/>
      <c r="J17" s="9"/>
    </row>
    <row r="18" ht="53.25" customHeight="1">
      <c r="A18" s="9"/>
      <c r="B18" s="10"/>
      <c r="C18" s="12"/>
      <c r="D18" s="12"/>
      <c r="E18" s="12"/>
      <c r="F18" s="9"/>
      <c r="G18" s="9"/>
      <c r="H18" s="9"/>
      <c r="I18" s="9"/>
      <c r="J18" s="9"/>
    </row>
    <row r="19" ht="53.25" customHeight="1">
      <c r="A19" s="9"/>
      <c r="B19" s="10"/>
      <c r="C19" s="12"/>
      <c r="D19" s="12"/>
      <c r="E19" s="12"/>
      <c r="F19" s="9"/>
      <c r="G19" s="9"/>
      <c r="H19" s="9"/>
      <c r="I19" s="9"/>
      <c r="J19" s="9"/>
    </row>
    <row r="20" ht="53.25" customHeight="1">
      <c r="A20" s="9"/>
      <c r="B20" s="10"/>
      <c r="C20" s="12"/>
      <c r="D20" s="12"/>
      <c r="E20" s="12"/>
      <c r="F20" s="9"/>
      <c r="G20" s="9"/>
      <c r="H20" s="9"/>
      <c r="I20" s="9"/>
      <c r="J20" s="9"/>
    </row>
    <row r="21" ht="53.25" customHeight="1">
      <c r="A21" s="9"/>
      <c r="B21" s="10"/>
      <c r="C21" s="12"/>
      <c r="D21" s="12"/>
      <c r="E21" s="12"/>
      <c r="F21" s="9"/>
      <c r="G21" s="9"/>
      <c r="H21" s="9"/>
      <c r="I21" s="9"/>
      <c r="J21" s="9"/>
    </row>
    <row r="22" ht="53.25" customHeight="1">
      <c r="A22" s="9"/>
      <c r="B22" s="10"/>
      <c r="C22" s="12"/>
      <c r="D22" s="12"/>
      <c r="E22" s="12"/>
      <c r="F22" s="9"/>
      <c r="G22" s="9"/>
      <c r="H22" s="9"/>
      <c r="I22" s="9"/>
      <c r="J22" s="9"/>
    </row>
    <row r="23" ht="53.25" customHeight="1">
      <c r="A23" s="9"/>
      <c r="B23" s="10"/>
      <c r="C23" s="12"/>
      <c r="D23" s="12"/>
      <c r="E23" s="12"/>
      <c r="F23" s="9"/>
      <c r="G23" s="9"/>
      <c r="H23" s="9"/>
      <c r="I23" s="9"/>
      <c r="J23" s="9"/>
    </row>
    <row r="24" ht="53.25" customHeight="1">
      <c r="A24" s="9"/>
      <c r="B24" s="10"/>
      <c r="C24" s="12"/>
      <c r="D24" s="12"/>
      <c r="E24" s="12"/>
      <c r="F24" s="9"/>
      <c r="G24" s="9"/>
      <c r="H24" s="9"/>
      <c r="I24" s="9"/>
      <c r="J24" s="9"/>
    </row>
    <row r="25" ht="53.25" customHeight="1">
      <c r="A25" s="9"/>
      <c r="B25" s="10"/>
      <c r="C25" s="12"/>
      <c r="D25" s="12"/>
      <c r="E25" s="12"/>
      <c r="F25" s="9"/>
      <c r="G25" s="9"/>
      <c r="H25" s="9"/>
      <c r="I25" s="9"/>
      <c r="J25" s="9"/>
    </row>
    <row r="26" ht="53.25" customHeight="1">
      <c r="A26" s="9"/>
      <c r="B26" s="10"/>
      <c r="C26" s="12"/>
      <c r="D26" s="12"/>
      <c r="E26" s="12"/>
      <c r="F26" s="9"/>
      <c r="G26" s="9"/>
      <c r="H26" s="9"/>
      <c r="I26" s="9"/>
      <c r="J26" s="9"/>
    </row>
    <row r="27" ht="53.25" customHeight="1">
      <c r="A27" s="9"/>
      <c r="B27" s="10"/>
      <c r="C27" s="12"/>
      <c r="D27" s="12"/>
      <c r="E27" s="12"/>
      <c r="F27" s="9"/>
      <c r="G27" s="9"/>
      <c r="H27" s="9"/>
      <c r="I27" s="9"/>
      <c r="J27" s="9"/>
    </row>
    <row r="28" ht="53.25" customHeight="1">
      <c r="A28" s="9"/>
      <c r="B28" s="10"/>
      <c r="C28" s="12"/>
      <c r="D28" s="12"/>
      <c r="E28" s="12"/>
      <c r="F28" s="9"/>
      <c r="G28" s="9"/>
      <c r="H28" s="9"/>
      <c r="I28" s="9"/>
      <c r="J28" s="9"/>
    </row>
    <row r="29" ht="53.25" customHeight="1">
      <c r="A29" s="9"/>
      <c r="B29" s="10"/>
      <c r="C29" s="12"/>
      <c r="D29" s="12"/>
      <c r="E29" s="12"/>
      <c r="F29" s="9"/>
      <c r="G29" s="9"/>
      <c r="H29" s="9"/>
      <c r="I29" s="9"/>
      <c r="J29" s="9"/>
    </row>
    <row r="30" ht="53.25" customHeight="1">
      <c r="A30" s="9"/>
      <c r="B30" s="10"/>
      <c r="C30" s="12"/>
      <c r="D30" s="12"/>
      <c r="E30" s="12"/>
      <c r="F30" s="9"/>
      <c r="G30" s="9"/>
      <c r="H30" s="9"/>
      <c r="I30" s="9"/>
      <c r="J30" s="9"/>
    </row>
    <row r="31" ht="53.25" customHeight="1">
      <c r="A31" s="9"/>
      <c r="B31" s="10"/>
      <c r="C31" s="12"/>
      <c r="D31" s="12"/>
      <c r="E31" s="12"/>
      <c r="F31" s="9"/>
      <c r="G31" s="9"/>
      <c r="H31" s="9"/>
      <c r="I31" s="9"/>
      <c r="J31" s="9"/>
    </row>
    <row r="32" ht="53.25" customHeight="1">
      <c r="A32" s="9"/>
      <c r="B32" s="10"/>
      <c r="C32" s="12"/>
      <c r="D32" s="12"/>
      <c r="E32" s="12"/>
      <c r="F32" s="9"/>
      <c r="G32" s="9"/>
      <c r="H32" s="9"/>
      <c r="I32" s="9"/>
      <c r="J32" s="9"/>
    </row>
    <row r="33" ht="53.25" customHeight="1">
      <c r="A33" s="9"/>
      <c r="B33" s="10"/>
      <c r="C33" s="12"/>
      <c r="D33" s="12"/>
      <c r="E33" s="12"/>
      <c r="F33" s="9"/>
      <c r="G33" s="9"/>
      <c r="H33" s="9"/>
      <c r="I33" s="9"/>
      <c r="J33" s="9"/>
    </row>
    <row r="34" ht="53.25" customHeight="1">
      <c r="A34" s="9"/>
      <c r="B34" s="10"/>
      <c r="C34" s="12"/>
      <c r="D34" s="12"/>
      <c r="E34" s="12"/>
      <c r="F34" s="9"/>
      <c r="G34" s="9"/>
      <c r="H34" s="9"/>
      <c r="I34" s="9"/>
      <c r="J34" s="9"/>
    </row>
    <row r="35" ht="53.25" customHeight="1">
      <c r="A35" s="9"/>
      <c r="B35" s="10"/>
      <c r="C35" s="12"/>
      <c r="D35" s="12"/>
      <c r="E35" s="12"/>
      <c r="F35" s="9"/>
      <c r="G35" s="9"/>
      <c r="H35" s="9"/>
      <c r="I35" s="9"/>
      <c r="J35" s="9"/>
    </row>
    <row r="36" ht="53.25" customHeight="1">
      <c r="A36" s="9"/>
      <c r="B36" s="10"/>
      <c r="C36" s="12"/>
      <c r="D36" s="12"/>
      <c r="E36" s="12"/>
      <c r="F36" s="9"/>
      <c r="G36" s="9"/>
      <c r="H36" s="9"/>
      <c r="I36" s="9"/>
      <c r="J36" s="9"/>
    </row>
    <row r="37" ht="53.25" customHeight="1">
      <c r="A37" s="9"/>
      <c r="B37" s="10"/>
      <c r="C37" s="12"/>
      <c r="D37" s="12"/>
      <c r="E37" s="12"/>
      <c r="F37" s="9"/>
      <c r="G37" s="9"/>
      <c r="H37" s="9"/>
      <c r="I37" s="9"/>
      <c r="J37" s="9"/>
    </row>
    <row r="38" ht="53.25" customHeight="1">
      <c r="A38" s="9"/>
      <c r="B38" s="10"/>
      <c r="C38" s="12"/>
      <c r="D38" s="12"/>
      <c r="E38" s="12"/>
      <c r="F38" s="9"/>
      <c r="G38" s="9"/>
      <c r="H38" s="9"/>
      <c r="I38" s="9"/>
      <c r="J38" s="9"/>
    </row>
    <row r="39" ht="53.25" customHeight="1">
      <c r="A39" s="9"/>
      <c r="B39" s="10"/>
      <c r="C39" s="12"/>
      <c r="D39" s="12"/>
      <c r="E39" s="12"/>
      <c r="F39" s="9"/>
      <c r="G39" s="9"/>
      <c r="H39" s="9"/>
      <c r="I39" s="9"/>
      <c r="J39" s="9"/>
    </row>
    <row r="40" ht="53.25" customHeight="1">
      <c r="A40" s="9"/>
      <c r="B40" s="10"/>
      <c r="C40" s="12"/>
      <c r="D40" s="12"/>
      <c r="E40" s="12"/>
      <c r="F40" s="9"/>
      <c r="G40" s="9"/>
      <c r="H40" s="9"/>
      <c r="I40" s="9"/>
      <c r="J40" s="9"/>
    </row>
    <row r="41" ht="53.25" customHeight="1">
      <c r="A41" s="9"/>
      <c r="B41" s="10"/>
      <c r="C41" s="12"/>
      <c r="D41" s="12"/>
      <c r="E41" s="12"/>
      <c r="F41" s="9"/>
      <c r="G41" s="9"/>
      <c r="H41" s="9"/>
      <c r="I41" s="9"/>
      <c r="J41" s="9"/>
    </row>
    <row r="42" ht="53.25" customHeight="1">
      <c r="A42" s="9"/>
      <c r="B42" s="10"/>
      <c r="C42" s="12"/>
      <c r="D42" s="12"/>
      <c r="E42" s="12"/>
      <c r="F42" s="9"/>
      <c r="G42" s="9"/>
      <c r="H42" s="9"/>
      <c r="I42" s="9"/>
      <c r="J42" s="9"/>
    </row>
    <row r="43" ht="53.25" customHeight="1">
      <c r="A43" s="9"/>
      <c r="B43" s="10"/>
      <c r="C43" s="12"/>
      <c r="D43" s="12"/>
      <c r="E43" s="12"/>
      <c r="F43" s="9"/>
      <c r="G43" s="9"/>
      <c r="H43" s="9"/>
      <c r="I43" s="9"/>
      <c r="J43" s="9"/>
    </row>
    <row r="44" ht="53.25" customHeight="1">
      <c r="A44" s="9"/>
      <c r="B44" s="10"/>
      <c r="C44" s="12"/>
      <c r="D44" s="12"/>
      <c r="E44" s="12"/>
      <c r="F44" s="9"/>
      <c r="G44" s="9"/>
      <c r="H44" s="9"/>
      <c r="I44" s="9"/>
      <c r="J44" s="9"/>
    </row>
    <row r="45" ht="53.25" customHeight="1">
      <c r="A45" s="9"/>
      <c r="B45" s="10"/>
      <c r="C45" s="12"/>
      <c r="D45" s="12"/>
      <c r="E45" s="12"/>
      <c r="F45" s="9"/>
      <c r="G45" s="9"/>
      <c r="H45" s="9"/>
      <c r="I45" s="9"/>
      <c r="J45" s="9"/>
    </row>
    <row r="46" ht="53.25" customHeight="1">
      <c r="A46" s="9"/>
      <c r="B46" s="10"/>
      <c r="C46" s="12"/>
      <c r="D46" s="12"/>
      <c r="E46" s="12"/>
      <c r="F46" s="9"/>
      <c r="G46" s="9"/>
      <c r="H46" s="9"/>
      <c r="I46" s="9"/>
      <c r="J46" s="9"/>
    </row>
    <row r="47" ht="53.25" customHeight="1">
      <c r="A47" s="9"/>
      <c r="B47" s="10"/>
      <c r="C47" s="12"/>
      <c r="D47" s="12"/>
      <c r="E47" s="12"/>
      <c r="F47" s="9"/>
      <c r="G47" s="9"/>
      <c r="H47" s="9"/>
      <c r="I47" s="9"/>
      <c r="J47" s="9"/>
    </row>
    <row r="48" ht="53.25" customHeight="1">
      <c r="A48" s="9"/>
      <c r="B48" s="10"/>
      <c r="C48" s="12"/>
      <c r="D48" s="12"/>
      <c r="E48" s="12"/>
      <c r="F48" s="9"/>
      <c r="G48" s="9"/>
      <c r="H48" s="9"/>
      <c r="I48" s="9"/>
      <c r="J48" s="9"/>
    </row>
    <row r="49" ht="53.25" customHeight="1">
      <c r="A49" s="9"/>
      <c r="B49" s="10"/>
      <c r="C49" s="12"/>
      <c r="D49" s="12"/>
      <c r="E49" s="12"/>
      <c r="F49" s="9"/>
      <c r="G49" s="9"/>
      <c r="H49" s="9"/>
      <c r="I49" s="9"/>
      <c r="J49" s="9"/>
    </row>
    <row r="50" ht="53.25" customHeight="1">
      <c r="A50" s="9"/>
      <c r="B50" s="10"/>
      <c r="C50" s="12"/>
      <c r="D50" s="12"/>
      <c r="E50" s="12"/>
      <c r="F50" s="9"/>
      <c r="G50" s="9"/>
      <c r="H50" s="9"/>
      <c r="I50" s="9"/>
      <c r="J50" s="9"/>
    </row>
    <row r="51" ht="53.25" customHeight="1">
      <c r="A51" s="9"/>
      <c r="B51" s="10"/>
      <c r="C51" s="12"/>
      <c r="D51" s="12"/>
      <c r="E51" s="12"/>
      <c r="F51" s="9"/>
      <c r="G51" s="9"/>
      <c r="H51" s="9"/>
      <c r="I51" s="9"/>
      <c r="J51" s="9"/>
    </row>
    <row r="52" ht="53.25" customHeight="1">
      <c r="A52" s="9"/>
      <c r="B52" s="10"/>
      <c r="C52" s="12"/>
      <c r="D52" s="12"/>
      <c r="E52" s="12"/>
      <c r="F52" s="9"/>
      <c r="G52" s="9"/>
      <c r="H52" s="9"/>
      <c r="I52" s="9"/>
      <c r="J52" s="9"/>
    </row>
    <row r="53" ht="53.25" customHeight="1">
      <c r="A53" s="9"/>
      <c r="B53" s="10"/>
      <c r="C53" s="12"/>
      <c r="D53" s="12"/>
      <c r="E53" s="12"/>
      <c r="F53" s="9"/>
      <c r="G53" s="9"/>
      <c r="H53" s="9"/>
      <c r="I53" s="9"/>
      <c r="J53" s="9"/>
    </row>
    <row r="54" ht="53.25" customHeight="1">
      <c r="A54" s="9"/>
      <c r="B54" s="10"/>
      <c r="C54" s="12"/>
      <c r="D54" s="12"/>
      <c r="E54" s="12"/>
      <c r="F54" s="9"/>
      <c r="G54" s="9"/>
      <c r="H54" s="9"/>
      <c r="I54" s="9"/>
      <c r="J54" s="9"/>
    </row>
    <row r="55" ht="53.25" customHeight="1">
      <c r="A55" s="9"/>
      <c r="B55" s="10"/>
      <c r="C55" s="12"/>
      <c r="D55" s="12"/>
      <c r="E55" s="12"/>
      <c r="F55" s="9"/>
      <c r="G55" s="9"/>
      <c r="H55" s="9"/>
      <c r="I55" s="9"/>
      <c r="J55" s="9"/>
    </row>
    <row r="56" ht="53.25" customHeight="1">
      <c r="A56" s="9"/>
      <c r="B56" s="10"/>
      <c r="C56" s="12"/>
      <c r="D56" s="12"/>
      <c r="E56" s="12"/>
      <c r="F56" s="9"/>
      <c r="G56" s="9"/>
      <c r="H56" s="9"/>
      <c r="I56" s="9"/>
      <c r="J56" s="9"/>
    </row>
    <row r="57" ht="53.25" customHeight="1">
      <c r="A57" s="9"/>
      <c r="B57" s="10"/>
      <c r="C57" s="12"/>
      <c r="D57" s="12"/>
      <c r="E57" s="12"/>
      <c r="F57" s="9"/>
      <c r="G57" s="9"/>
      <c r="H57" s="9"/>
      <c r="I57" s="9"/>
      <c r="J57" s="9"/>
    </row>
    <row r="58" ht="53.25" customHeight="1">
      <c r="A58" s="9"/>
      <c r="B58" s="10"/>
      <c r="C58" s="12"/>
      <c r="D58" s="12"/>
      <c r="E58" s="12"/>
      <c r="F58" s="9"/>
      <c r="G58" s="9"/>
      <c r="H58" s="9"/>
      <c r="I58" s="9"/>
      <c r="J58" s="9"/>
    </row>
    <row r="59" ht="53.25" customHeight="1">
      <c r="A59" s="9"/>
      <c r="B59" s="10"/>
      <c r="C59" s="12"/>
      <c r="D59" s="12"/>
      <c r="E59" s="12"/>
      <c r="F59" s="9"/>
      <c r="G59" s="9"/>
      <c r="H59" s="9"/>
      <c r="I59" s="9"/>
      <c r="J59" s="9"/>
    </row>
    <row r="60" ht="53.25" customHeight="1">
      <c r="A60" s="9"/>
      <c r="B60" s="10"/>
      <c r="C60" s="12"/>
      <c r="D60" s="12"/>
      <c r="E60" s="12"/>
      <c r="F60" s="9"/>
      <c r="G60" s="9"/>
      <c r="H60" s="9"/>
      <c r="I60" s="9"/>
      <c r="J60" s="9"/>
    </row>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3">
    <mergeCell ref="A1:J1"/>
    <mergeCell ref="A2:E3"/>
    <mergeCell ref="F2:J3"/>
  </mergeCells>
  <conditionalFormatting sqref="F6:F11">
    <cfRule type="expression" dxfId="0" priority="1">
      <formula>F6="Critical"</formula>
    </cfRule>
  </conditionalFormatting>
  <conditionalFormatting sqref="F6:F11">
    <cfRule type="expression" dxfId="1" priority="2">
      <formula>F6="Major"</formula>
    </cfRule>
  </conditionalFormatting>
  <conditionalFormatting sqref="F6:F11">
    <cfRule type="expression" dxfId="2" priority="3">
      <formula>F6="Minor"</formula>
    </cfRule>
  </conditionalFormatting>
  <conditionalFormatting sqref="I6:I11">
    <cfRule type="expression" dxfId="3" priority="4">
      <formula>I6="Open"</formula>
    </cfRule>
  </conditionalFormatting>
  <conditionalFormatting sqref="I6:I11">
    <cfRule type="expression" dxfId="4" priority="5">
      <formula>I6="Closed"</formula>
    </cfRule>
  </conditionalFormatting>
  <printOptions/>
  <pageMargins bottom="0.75" footer="0.0" header="0.0" left="0.7" right="0.7" top="0.75"/>
  <pageSetup orientation="landscape"/>
  <drawing r:id="rId1"/>
</worksheet>
</file>